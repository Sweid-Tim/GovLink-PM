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53" windowHeight="5800"/>
  </bookViews>
  <sheets>
    <sheet name="出国资金预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<sst xmlns="http://schemas.openxmlformats.org/spreadsheetml/2006/main" count="53" uniqueCount="50">
  <si>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昆山市行政事业单位因公出国（境）资金预审表</t>
  </si>
  <si>
    <t>申请单位</t>
  </si>
  <si>
    <t>昆山市文体广旅局</t>
  </si>
  <si>
    <t>单位</t>
  </si>
  <si>
    <t>机关</t>
  </si>
  <si>
    <t>出访人</t>
  </si>
  <si>
    <t>金磊 等4人</t>
  </si>
  <si>
    <t>性质</t>
  </si>
  <si>
    <t>姓  名</t>
  </si>
  <si>
    <t>出访国家       或地区、天数</t>
  </si>
  <si>
    <t>共计4天。其中：法国4天。</t>
  </si>
  <si>
    <t>组团单位</t>
  </si>
  <si>
    <t>批件号</t>
  </si>
  <si>
    <t>市级财政负担</t>
  </si>
  <si>
    <t>区镇财政负担</t>
  </si>
  <si>
    <t>企业及其他负担</t>
  </si>
  <si>
    <t xml:space="preserve">                       境  外  费  用   （详见财政部 财行［2013］516号）</t>
  </si>
  <si>
    <t>境  内  费  用</t>
  </si>
  <si>
    <t>国际旅费</t>
  </si>
  <si>
    <t xml:space="preserve">                                                                      </t>
  </si>
  <si>
    <t>（以人民币核算）</t>
  </si>
  <si>
    <t xml:space="preserve">       项 目</t>
  </si>
  <si>
    <t>住宿费</t>
  </si>
  <si>
    <t>伙食费</t>
  </si>
  <si>
    <t>公杂费</t>
  </si>
  <si>
    <t>城市间   交通费</t>
  </si>
  <si>
    <t>培训费</t>
  </si>
  <si>
    <t>其他</t>
  </si>
  <si>
    <t>小计</t>
  </si>
  <si>
    <t>签证费</t>
  </si>
  <si>
    <t>保险费、防疫费</t>
  </si>
  <si>
    <t>城市</t>
  </si>
  <si>
    <t>法国巴黎、阿维尼翁</t>
  </si>
  <si>
    <t>预算合计人民币（元）</t>
  </si>
  <si>
    <t>经费来源</t>
  </si>
  <si>
    <t>1、预算内□      2、预算外□</t>
  </si>
  <si>
    <t>其中：</t>
  </si>
  <si>
    <t>法国段费用3600欧，汇率8.1</t>
  </si>
  <si>
    <t>折合人民币</t>
  </si>
  <si>
    <t>元</t>
  </si>
  <si>
    <t>境内费用7200元</t>
  </si>
  <si>
    <t>国际旅费243500元</t>
  </si>
  <si>
    <t>3、其他资金（请详细说明）□：</t>
  </si>
  <si>
    <t>单位审核意见</t>
  </si>
  <si>
    <t>财政部门   审核意见</t>
  </si>
  <si>
    <t>单位负责人                    财务负责人</t>
  </si>
  <si>
    <t>经办人</t>
  </si>
  <si>
    <t>年  月  日</t>
  </si>
  <si>
    <t>年     月    日</t>
  </si>
  <si>
    <t>本表一式四份：1、出国（境）任务审批部门  2、市行政服务中心财政窗口  3、派出单位 4、财政部门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</si>
</sst>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\ &quot;€&quot;;\-#,##0.00\ &quot;€&quot;"/>
    <numFmt numFmtId="177" formatCode="#,##0\ &quot;€&quot;;\-#,##0\ &quot;€&quot;"/>
  </numFmts>
  <fonts count="25">
    <font>
      <sz val="1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9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shrinkToFit="1"/>
    </xf>
    <xf numFmtId="0" fontId="2" fillId="0" borderId="1" xfId="0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/>
    <xf numFmtId="177" fontId="2" fillId="0" borderId="1" xfId="0" applyNumberFormat="1" applyFont="1" applyFill="1" applyBorder="1"/>
    <xf numFmtId="0" fontId="2" fillId="0" borderId="10" xfId="0" applyFont="1" applyFill="1" applyBorder="1"/>
    <xf numFmtId="0" fontId="2" fillId="0" borderId="1" xfId="0" applyFont="1" applyFill="1" applyBorder="1"/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0" xfId="0" applyFont="1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Border="1"/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Border="1" applyAlignment="1"/>
    <xf numFmtId="0" fontId="2" fillId="0" borderId="14" xfId="0" applyFont="1" applyBorder="1" applyAlignment="1"/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/>
    <xf numFmtId="0" fontId="2" fillId="0" borderId="14" xfId="0" applyFont="1" applyBorder="1" applyAlignment="1">
      <alignment horizontal="left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/>
    <xf numFmtId="0" fontId="0" fillId="0" borderId="6" xfId="0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8</xdr:row>
      <xdr:rowOff>19050</xdr:rowOff>
    </xdr:from>
    <xdr:to>
      <xdr:col>1</xdr:col>
      <xdr:colOff>19050</xdr:colOff>
      <xdr:row>9</xdr:row>
      <xdr:rowOff>0</xdr:rowOff>
    </xdr:to>
    <xdr:sp>
      <xdr:nvSpPr>
        <xdr:cNvPr id="2" name="Line 1"/>
        <xdr:cNvSpPr/>
      </xdr:nvSpPr>
      <xdr:spPr>
        <a:xfrm>
          <a:off x="19050" y="2105660"/>
          <a:ext cx="1692910" cy="18351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zoomScale="70" zoomScaleNormal="70" topLeftCell="A6" workbookViewId="0">
      <selection activeCell="C9" sqref="C9:C10"/>
    </sheetView>
  </sheetViews>
  <sheetFormatPr defaultColWidth="9" defaultRowHeight="15.3"/>
  <cols>
    <col min="1" max="1" width="22.2166666666667" customWidth="1"/>
    <col min="2" max="2" width="9.60833333333333" customWidth="1"/>
    <col min="3" max="4" width="8.375" customWidth="1"/>
    <col min="5" max="5" width="10.3916666666667" customWidth="1"/>
    <col min="6" max="6" width="8.375" customWidth="1"/>
    <col min="7" max="8" width="8.625" customWidth="1"/>
    <col min="9" max="9" width="9.625" customWidth="1"/>
    <col min="10" max="10" width="13.225" customWidth="1"/>
    <col min="11" max="11" width="10.125" customWidth="1"/>
    <col min="12" max="12" width="14.125" customWidth="1"/>
  </cols>
  <sheetData>
    <row r="1" ht="34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25" customHeight="1" spans="1:12">
      <c r="A2" s="2" t="s">
        <v>1</v>
      </c>
      <c r="B2" s="3" t="s">
        <v>2</v>
      </c>
      <c r="C2" s="4"/>
      <c r="D2" s="5"/>
      <c r="E2" s="6" t="s">
        <v>3</v>
      </c>
      <c r="F2" s="2" t="s">
        <v>4</v>
      </c>
      <c r="G2" s="6" t="s">
        <v>5</v>
      </c>
      <c r="H2" s="7" t="s">
        <v>6</v>
      </c>
      <c r="I2" s="7"/>
      <c r="J2" s="7"/>
      <c r="K2" s="7"/>
      <c r="L2" s="8"/>
    </row>
    <row r="3" spans="1:12">
      <c r="A3" s="9"/>
      <c r="B3" s="10"/>
      <c r="C3" s="11"/>
      <c r="D3" s="12"/>
      <c r="E3" s="13" t="s">
        <v>7</v>
      </c>
      <c r="F3" s="9"/>
      <c r="G3" s="13" t="s">
        <v>8</v>
      </c>
      <c r="H3" s="14"/>
      <c r="I3" s="14"/>
      <c r="J3" s="14"/>
      <c r="K3" s="14"/>
      <c r="L3" s="15"/>
    </row>
    <row r="4" ht="24.65" spans="1:12">
      <c r="A4" s="9" t="s">
        <v>9</v>
      </c>
      <c r="B4" s="16" t="s">
        <v>10</v>
      </c>
      <c r="C4" s="16"/>
      <c r="D4" s="16"/>
      <c r="E4" s="16"/>
      <c r="F4" s="16"/>
      <c r="G4" s="16"/>
      <c r="H4" s="16"/>
      <c r="I4" s="16"/>
      <c r="J4" s="16"/>
      <c r="K4" s="17"/>
      <c r="L4" s="17"/>
    </row>
    <row r="5" ht="22.5" customHeight="1" spans="1:12">
      <c r="A5" s="18" t="s">
        <v>11</v>
      </c>
      <c r="B5" s="18" t="s">
        <v>2</v>
      </c>
      <c r="C5" s="18"/>
      <c r="D5" s="18"/>
      <c r="E5" s="18"/>
      <c r="F5" s="18"/>
      <c r="G5" s="18" t="s">
        <v>12</v>
      </c>
      <c r="H5" s="18"/>
      <c r="I5" s="18"/>
      <c r="J5" s="18"/>
      <c r="K5" s="18"/>
      <c r="L5" s="18"/>
    </row>
    <row r="6" ht="22.5" customHeight="1" spans="1:12">
      <c r="A6" s="18" t="s">
        <v>13</v>
      </c>
      <c r="B6" s="19"/>
      <c r="C6" s="20"/>
      <c r="D6" s="21"/>
      <c r="E6" s="19" t="s">
        <v>14</v>
      </c>
      <c r="F6" s="21"/>
      <c r="G6" s="19"/>
      <c r="H6" s="20"/>
      <c r="I6" s="21"/>
      <c r="J6" s="19" t="s">
        <v>15</v>
      </c>
      <c r="K6" s="21"/>
      <c r="L6" s="22"/>
    </row>
    <row r="7" spans="1:12">
      <c r="A7" s="23" t="s">
        <v>16</v>
      </c>
      <c r="B7" s="24"/>
      <c r="C7" s="24"/>
      <c r="D7" s="24"/>
      <c r="E7" s="24"/>
      <c r="F7" s="24"/>
      <c r="G7" s="24"/>
      <c r="H7" s="25"/>
      <c r="I7" s="23" t="s">
        <v>17</v>
      </c>
      <c r="J7" s="24"/>
      <c r="K7" s="24"/>
      <c r="L7" s="18" t="s">
        <v>18</v>
      </c>
    </row>
    <row r="8" spans="1:12">
      <c r="A8" s="26" t="s">
        <v>19</v>
      </c>
      <c r="B8" s="27"/>
      <c r="C8" s="27"/>
      <c r="D8" s="27"/>
      <c r="E8" s="27"/>
      <c r="F8" s="27"/>
      <c r="G8" s="27"/>
      <c r="H8" s="28"/>
      <c r="I8" s="29" t="s">
        <v>20</v>
      </c>
      <c r="J8" s="30"/>
      <c r="K8" s="31"/>
      <c r="L8" s="18"/>
    </row>
    <row r="9" ht="15.95" customHeight="1" spans="1:12">
      <c r="A9" s="32" t="s">
        <v>21</v>
      </c>
      <c r="B9" s="12" t="s">
        <v>22</v>
      </c>
      <c r="C9" s="9" t="s">
        <v>23</v>
      </c>
      <c r="D9" s="9" t="s">
        <v>24</v>
      </c>
      <c r="E9" s="9" t="s">
        <v>25</v>
      </c>
      <c r="F9" s="9" t="s">
        <v>26</v>
      </c>
      <c r="G9" s="9" t="s">
        <v>27</v>
      </c>
      <c r="H9" s="2" t="s">
        <v>28</v>
      </c>
      <c r="I9" s="9" t="s">
        <v>29</v>
      </c>
      <c r="J9" s="9" t="s">
        <v>30</v>
      </c>
      <c r="K9" s="33" t="s">
        <v>28</v>
      </c>
      <c r="L9" s="18"/>
    </row>
    <row r="10" ht="15.95" customHeight="1" spans="1:12">
      <c r="A10" s="34" t="s">
        <v>31</v>
      </c>
      <c r="B10" s="35"/>
      <c r="C10" s="36"/>
      <c r="D10" s="36"/>
      <c r="E10" s="36"/>
      <c r="F10" s="36"/>
      <c r="G10" s="36"/>
      <c r="H10" s="9"/>
      <c r="I10" s="36"/>
      <c r="J10" s="36"/>
      <c r="K10" s="37"/>
      <c r="L10" s="38" t="s">
        <v>20</v>
      </c>
    </row>
    <row r="11" ht="15.95" customHeight="1" spans="1:12">
      <c r="A11" s="39" t="s">
        <v>32</v>
      </c>
      <c r="B11" s="40">
        <v>1320</v>
      </c>
      <c r="C11" s="40">
        <v>960</v>
      </c>
      <c r="D11" s="40">
        <v>640</v>
      </c>
      <c r="E11" s="41">
        <v>680</v>
      </c>
      <c r="F11" s="42"/>
      <c r="G11" s="42"/>
      <c r="H11" s="43">
        <f>SUM(B11:E11)</f>
        <v>3600</v>
      </c>
      <c r="I11" s="44">
        <f>1500*4</f>
        <v>6000</v>
      </c>
      <c r="J11" s="44">
        <f>300*4</f>
        <v>1200</v>
      </c>
      <c r="K11" s="45">
        <f>SUM(I11:J11)</f>
        <v>7200</v>
      </c>
      <c r="L11" s="46">
        <v>243500</v>
      </c>
    </row>
    <row r="12" ht="15.95" customHeight="1" spans="1:12">
      <c r="A12" s="39"/>
      <c r="B12" s="40"/>
      <c r="C12" s="40"/>
      <c r="D12" s="40"/>
      <c r="E12" s="40"/>
      <c r="F12" s="42"/>
      <c r="G12" s="42"/>
      <c r="H12" s="43"/>
      <c r="I12" s="44"/>
      <c r="J12" s="45"/>
      <c r="K12" s="45"/>
      <c r="L12" s="46"/>
    </row>
    <row r="13" ht="15.95" customHeight="1" spans="1:12">
      <c r="A13" s="47"/>
      <c r="B13" s="47"/>
      <c r="C13" s="47"/>
      <c r="D13" s="47"/>
      <c r="E13" s="47"/>
      <c r="F13" s="47"/>
      <c r="G13" s="47"/>
      <c r="H13" s="47"/>
      <c r="I13" s="48"/>
      <c r="J13" s="47"/>
      <c r="K13" s="47"/>
      <c r="L13" s="47"/>
    </row>
    <row r="14" ht="18" customHeight="1" spans="1:12">
      <c r="A14" s="49" t="s">
        <v>33</v>
      </c>
      <c r="B14" s="50">
        <v>279860</v>
      </c>
      <c r="C14" s="50"/>
      <c r="D14" s="50"/>
      <c r="E14" s="51"/>
      <c r="F14" s="51"/>
      <c r="G14" s="51"/>
      <c r="H14" s="52" t="s">
        <v>34</v>
      </c>
      <c r="I14" s="49" t="s">
        <v>35</v>
      </c>
      <c r="J14" s="51"/>
      <c r="K14" s="51"/>
      <c r="L14" s="53"/>
    </row>
    <row r="15" ht="18" customHeight="1" spans="1:12">
      <c r="A15" s="54" t="s">
        <v>36</v>
      </c>
      <c r="E15" s="55"/>
      <c r="H15" s="56"/>
      <c r="I15" s="54"/>
      <c r="J15" s="57"/>
      <c r="K15" s="57"/>
      <c r="L15" s="58"/>
    </row>
    <row r="16" ht="18" customHeight="1" spans="1:12">
      <c r="A16" s="54" t="s">
        <v>37</v>
      </c>
      <c r="B16" s="59" t="s">
        <v>38</v>
      </c>
      <c r="C16" s="60">
        <f>H11*8.1</f>
        <v>29160</v>
      </c>
      <c r="D16" s="61" t="s">
        <v>39</v>
      </c>
      <c r="H16" s="56"/>
      <c r="I16" s="57"/>
      <c r="J16" s="57"/>
      <c r="K16" s="57"/>
      <c r="L16" s="58"/>
    </row>
    <row r="17" ht="18" customHeight="1" spans="1:12">
      <c r="A17" s="62" t="s">
        <v>40</v>
      </c>
      <c r="B17" s="63" t="s">
        <v>41</v>
      </c>
      <c r="C17" s="63"/>
      <c r="D17" s="64"/>
      <c r="H17" s="56"/>
      <c r="I17" s="57"/>
      <c r="J17" s="57"/>
      <c r="K17" s="57"/>
      <c r="L17" s="58"/>
    </row>
    <row r="18" ht="18" customHeight="1" spans="1:12">
      <c r="F18" s="61"/>
      <c r="G18" s="61"/>
      <c r="H18" s="56"/>
      <c r="I18" s="65" t="s">
        <v>42</v>
      </c>
      <c r="J18" s="65"/>
      <c r="K18" s="65"/>
      <c r="L18" s="66"/>
    </row>
    <row r="19" ht="15.95" customHeight="1" spans="1:12">
      <c r="A19" s="2" t="s">
        <v>43</v>
      </c>
      <c r="B19" s="67"/>
      <c r="C19" s="68"/>
      <c r="D19" s="68"/>
      <c r="E19" s="68"/>
      <c r="F19" s="68"/>
      <c r="G19" s="69"/>
      <c r="H19" s="2" t="s">
        <v>44</v>
      </c>
      <c r="I19" s="70"/>
      <c r="J19" s="71"/>
      <c r="K19" s="71"/>
      <c r="L19" s="72"/>
    </row>
    <row r="20" ht="18" customHeight="1" spans="1:12">
      <c r="A20" s="73"/>
      <c r="B20" s="74"/>
      <c r="C20" s="63"/>
      <c r="D20" s="63"/>
      <c r="E20" s="63"/>
      <c r="F20" s="63"/>
      <c r="G20" s="61"/>
      <c r="H20" s="75"/>
      <c r="I20" s="76"/>
      <c r="J20" s="77"/>
      <c r="K20" s="77"/>
      <c r="L20" s="78"/>
    </row>
    <row r="21" ht="18" customHeight="1" spans="1:12">
      <c r="A21" s="73"/>
      <c r="B21" s="74" t="s">
        <v>45</v>
      </c>
      <c r="C21" s="63"/>
      <c r="D21" s="63"/>
      <c r="E21" s="63"/>
      <c r="F21" s="63"/>
      <c r="G21" s="61"/>
      <c r="H21" s="75"/>
      <c r="I21" s="62" t="s">
        <v>46</v>
      </c>
      <c r="J21" s="61"/>
      <c r="K21" s="61"/>
      <c r="L21" s="79"/>
    </row>
    <row r="22" ht="18" customHeight="1" spans="1:12">
      <c r="A22" s="34"/>
      <c r="B22" s="26" t="s">
        <v>47</v>
      </c>
      <c r="C22" s="26"/>
      <c r="D22" s="26"/>
      <c r="E22" s="26"/>
      <c r="F22" s="26"/>
      <c r="G22" s="27"/>
      <c r="H22" s="9"/>
      <c r="I22" s="80"/>
      <c r="J22" s="81"/>
      <c r="K22" s="81" t="s">
        <v>48</v>
      </c>
      <c r="L22" s="82"/>
    </row>
    <row r="23" ht="7.5" customHeight="1" spans="1:1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</row>
    <row r="24" spans="1:12">
      <c r="A24" s="84" t="s">
        <v>49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</row>
    <row r="26" spans="1:12">
      <c r="E26" s="85"/>
    </row>
    <row r="27" spans="1:12">
      <c r="K27" s="85"/>
    </row>
  </sheetData>
  <mergeCells count="34">
    <mergeCell ref="A1:L1"/>
    <mergeCell ref="B4:L4"/>
    <mergeCell ref="B5:F5"/>
    <mergeCell ref="H5:L5"/>
    <mergeCell ref="B6:D6"/>
    <mergeCell ref="E6:F6"/>
    <mergeCell ref="G6:I6"/>
    <mergeCell ref="J6:K6"/>
    <mergeCell ref="A7:H7"/>
    <mergeCell ref="I7:K7"/>
    <mergeCell ref="A8:H8"/>
    <mergeCell ref="I8:K8"/>
    <mergeCell ref="B17:C17"/>
    <mergeCell ref="B22:G22"/>
    <mergeCell ref="A24:L24"/>
    <mergeCell ref="A2:A3"/>
    <mergeCell ref="A19:A22"/>
    <mergeCell ref="B9:B10"/>
    <mergeCell ref="C9:C10"/>
    <mergeCell ref="D9:D10"/>
    <mergeCell ref="E9:E10"/>
    <mergeCell ref="F2:F3"/>
    <mergeCell ref="F9:F10"/>
    <mergeCell ref="G9:G10"/>
    <mergeCell ref="H9:H10"/>
    <mergeCell ref="H14:H18"/>
    <mergeCell ref="H19:H22"/>
    <mergeCell ref="I9:I10"/>
    <mergeCell ref="J9:J10"/>
    <mergeCell ref="K9:K10"/>
    <mergeCell ref="L7:L9"/>
    <mergeCell ref="B2:D3"/>
    <mergeCell ref="H2:L3"/>
    <mergeCell ref="I14:L15"/>
  </mergeCells>
  <printOptions horizontalCentered="1"/>
  <pageMargins left="0.79" right="0.79" top="0.87" bottom="0.98" header="0.51" footer="0.51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出国资金预审表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WPS_1730271204</cp:lastModifiedBy>
  <dcterms:created xsi:type="dcterms:W3CDTF">2019-04-23T01:39:00Z</dcterms:created>
  <dcterms:modified xsi:type="dcterms:W3CDTF">2026-05-12T04:05:12Z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439651CA61BE46F49C084EF63A518F88_13</vt:lpwstr>
  </property>
  <property fmtid="{D5CDD505-2E9C-101B-9397-08002B2CF9AE}" pid="4" name="CalculationRule">
    <vt:i4>0</vt:i4>
  </property>
</Properties>
</file>