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公务资源清单"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s>
  <sheetData>
    <row r="1" ht="13" customHeight="1">
      <c r="A1" s="1" t="inlineStr">
        <is>
          <t>公务名称</t>
        </is>
      </c>
      <c r="B1" s="1" t="inlineStr">
        <is>
          <t>国家</t>
        </is>
      </c>
      <c r="C1" s="1" t="inlineStr">
        <is>
          <t>城市</t>
        </is>
      </c>
      <c r="D1" s="1" t="inlineStr">
        <is>
          <t>分类</t>
        </is>
      </c>
      <c r="E1" s="1" t="inlineStr">
        <is>
          <t>行业</t>
        </is>
      </c>
      <c r="F1" s="1" t="inlineStr">
        <is>
          <t>地址</t>
        </is>
      </c>
      <c r="G1" s="1" t="inlineStr">
        <is>
          <t>官网</t>
        </is>
      </c>
      <c r="H1" s="1" t="inlineStr">
        <is>
          <t>简介</t>
        </is>
      </c>
      <c r="I1" s="1" t="inlineStr">
        <is>
          <t>联系人</t>
        </is>
      </c>
      <c r="J1" s="1" t="inlineStr">
        <is>
          <t>职位</t>
        </is>
      </c>
      <c r="K1" s="1" t="inlineStr">
        <is>
          <t>个人网站</t>
        </is>
      </c>
      <c r="L1" s="1" t="inlineStr">
        <is>
          <t>邮箱</t>
        </is>
      </c>
      <c r="M1" s="1" t="inlineStr">
        <is>
          <t>联系电话/微信</t>
        </is>
      </c>
      <c r="N1" s="1" t="inlineStr">
        <is>
          <t>Date</t>
        </is>
      </c>
      <c r="O1" s="1" t="inlineStr">
        <is>
          <t>进度状态</t>
        </is>
      </c>
      <c r="P1" s="1" t="inlineStr">
        <is>
          <t>进度描述</t>
        </is>
      </c>
      <c r="Q1" s="1" t="inlineStr">
        <is>
          <t>项目进度</t>
        </is>
      </c>
      <c r="R1" s="1" t="inlineStr">
        <is>
          <t>项目进度</t>
        </is>
      </c>
      <c r="S1" s="1" t="inlineStr">
        <is>
          <t>可以合作的领域</t>
        </is>
      </c>
      <c r="T1" s="1" t="inlineStr">
        <is>
          <t>父记录</t>
        </is>
      </c>
    </row>
    <row r="2" ht="25.5" customHeight="1">
      <c r="A2" t="inlineStr">
        <is>
          <t>沙特阿拉伯卫生部/Ministry of Health Saudi Arabia</t>
        </is>
      </c>
      <c r="B2" t="inlineStr">
        <is>
          <t>沙特阿拉伯</t>
        </is>
      </c>
      <c r="C2" t="inlineStr">
        <is>
          <t>利雅得</t>
        </is>
      </c>
      <c r="D2" t="inlineStr">
        <is>
          <t>政府</t>
        </is>
      </c>
      <c r="E2" t="inlineStr">
        <is>
          <t>医疗行业</t>
        </is>
      </c>
      <c r="F2"/>
      <c r="G2" s="2"/>
      <c r="H2" t="inlineStr">
        <is>
          <t>The Ministry of Health (MOH),by way of its objectives,policies and projects included in this strategy,seeks to accomplish a promising future vision,namely,delivering best-quality integrated and comprehensive healthcare services.
Carrying health conditions or health status of Saudi inhabitants to the best and highest possible level,in terms of justice and equality in providing healthcare,and in terms of effectiveness and the possibility of incurring the financial burden of the treatment and healthcare. In doing so,the MOH takes as its target meeting citizens’ aspirations in this regard,by providing them with high-quality general and specialized health services,and covering all the population with these services. 
Creating a sole and exclusive entity to formulate health policies including health insurance services,etc. (such as operating the recently established Health Services Council.)
Adopting a public and national health strategy which focuses of the main morbidity burdens,including non-communicable diseases,nutrition,reproductive health,smoking (tobacco-use),AIDS,traffic accidents,and injuries.  
The system must have an effective and fair method for estimating risks and benefits.  
Working to diversify sources of revenues to finance the system effectively. These sources must include also public revenues and insurance premiums,in addition to the equally allocated costs and taxes.</t>
        </is>
      </c>
      <c r="I2" t="inlineStr">
        <is>
          <t>Dr. Faisal Al-Dahmashi</t>
        </is>
      </c>
      <c r="J2" t="inlineStr">
        <is>
          <t>Assistant Deputy Minister for Hospitals' Services</t>
        </is>
      </c>
      <c r="K2" t="inlineStr">
        <is>
          <t>https://www.linkedin.com/in/faisal-salem/</t>
        </is>
      </c>
      <c r="L2" s="2" t="str">
        <f>=HYPERLINK("faisal-salem@hotmail.com", "faisal-salem@hotmail.com")</f>
        <v>faisal-salem@hotmail.com</v>
      </c>
      <c r="M2"/>
      <c r="N2" s="3">
        <v>45943</v>
      </c>
      <c r="O2" t="inlineStr">
        <is>
          <t>推进中</t>
        </is>
      </c>
      <c r="P2"/>
      <c r="Q2" t="inlineStr">
        <is>
          <t>静安卫健委沙特乌兹团组</t>
        </is>
      </c>
      <c r="R2"/>
      <c r="S2"/>
      <c r="T2"/>
    </row>
    <row r="3" ht="25.5" customHeight="1">
      <c r="A3" t="inlineStr">
        <is>
          <t>沙特阿拉伯卫生部/Ministry of Health Saudi Arabia</t>
        </is>
      </c>
      <c r="B3" t="inlineStr">
        <is>
          <t>沙特阿拉伯</t>
        </is>
      </c>
      <c r="C3" t="inlineStr">
        <is>
          <t>利雅得</t>
        </is>
      </c>
      <c r="D3" t="inlineStr">
        <is>
          <t>政府</t>
        </is>
      </c>
      <c r="E3" t="inlineStr">
        <is>
          <t>医疗行业</t>
        </is>
      </c>
      <c r="F3"/>
      <c r="G3" s="2"/>
      <c r="H3"/>
      <c r="I3" t="inlineStr">
        <is>
          <t>Yazeed Alotaibi</t>
        </is>
      </c>
      <c r="J3" t="inlineStr">
        <is>
          <t>Assistant Deputy Minister for Planning and Digital Transformation</t>
        </is>
      </c>
      <c r="K3" t="inlineStr">
        <is>
          <t>https://www.linkedin.com/in/yazeed-alotaibi-9018b5b6/</t>
        </is>
      </c>
      <c r="L3" s="2" t="str">
        <f>=HYPERLINK("yaotaibi@gmail.com", "yaotaibi@gmail.com")</f>
        <v>yaotaibi@gmail.com</v>
      </c>
      <c r="M3" t="inlineStr">
        <is>
          <t>504429044</t>
        </is>
      </c>
      <c r="N3" s="3">
        <v>45944</v>
      </c>
      <c r="O3" t="inlineStr">
        <is>
          <t>已联系未回复</t>
        </is>
      </c>
      <c r="P3"/>
      <c r="Q3" t="inlineStr">
        <is>
          <t>静安卫健委沙特乌兹团组</t>
        </is>
      </c>
      <c r="R3"/>
      <c r="S3"/>
      <c r="T3"/>
    </row>
    <row r="4" ht="25.5" customHeight="1">
      <c r="A4" t="inlineStr">
        <is>
          <t>哈立德国王眼科专科医院/King Faisal Specialist Hospital and Research Center</t>
        </is>
      </c>
      <c r="B4" t="inlineStr">
        <is>
          <t>沙特阿拉伯</t>
        </is>
      </c>
      <c r="C4" t="inlineStr">
        <is>
          <t>利雅得</t>
        </is>
      </c>
      <c r="D4" t="inlineStr">
        <is>
          <t>医院</t>
        </is>
      </c>
      <c r="E4" t="inlineStr">
        <is>
          <t>医疗行业</t>
        </is>
      </c>
      <c r="F4"/>
      <c r="G4" s="2"/>
      <c r="H4" t="inlineStr">
        <is>
          <t>费萨尔国王专科医院暨研究中心(KFSHRC)</t>
        </is>
      </c>
      <c r="I4" t="inlineStr">
        <is>
          <t>Ziad Rayes</t>
        </is>
      </c>
      <c r="J4" t="inlineStr">
        <is>
          <t>Consultant</t>
        </is>
      </c>
      <c r="K4" t="inlineStr">
        <is>
          <t>https://www.linkedin.com/in/ziad-rayes-ab37a152/</t>
        </is>
      </c>
      <c r="L4" s="2"/>
      <c r="M4"/>
      <c r="N4" s="3">
        <v>45944</v>
      </c>
      <c r="O4" t="inlineStr">
        <is>
          <t>推进中</t>
        </is>
      </c>
      <c r="P4"/>
      <c r="Q4" t="inlineStr">
        <is>
          <t>静安卫健委沙特乌兹团组</t>
        </is>
      </c>
      <c r="R4"/>
      <c r="S4"/>
      <c r="T4"/>
    </row>
    <row r="5" ht="25.5" customHeight="1">
      <c r="A5" t="inlineStr">
        <is>
          <t>哈立德国王眼科专科医院/King Khaled Eye Specialist Hospital (KKESH)</t>
        </is>
      </c>
      <c r="B5" t="inlineStr">
        <is>
          <t>沙特阿拉伯</t>
        </is>
      </c>
      <c r="C5" t="inlineStr">
        <is>
          <t>利雅得</t>
        </is>
      </c>
      <c r="D5" t="inlineStr">
        <is>
          <t>医院</t>
        </is>
      </c>
      <c r="E5" t="inlineStr">
        <is>
          <t>医疗行业</t>
        </is>
      </c>
      <c r="F5"/>
      <c r="G5" s="2"/>
      <c r="H5" t="inlineStr">
        <is>
          <t>King Khaled Eye Specialist Hospital (KKESH) is a tertiary care ophthalmic facility operated by the Ministry of Health (MOH) of the Kingdom of Saudi Arabia. The hospital provides quality tertiary ophthalmic care to the patients it serves and promotes the delivery of Kingdom-wide ophthalmic care through its outreach,educational,and research programs.</t>
        </is>
      </c>
      <c r="I5"/>
      <c r="J5"/>
      <c r="K5"/>
      <c r="L5" s="2" t="str">
        <f>=HYPERLINK("research@kkesh.med.sa​", "research@kkesh.med.sa​")</f>
        <v>research@kkesh.med.sa​</v>
      </c>
      <c r="M5" t="inlineStr">
        <is>
          <t>118401234</t>
        </is>
      </c>
      <c r="N5" s="3">
        <v>45944</v>
      </c>
      <c r="O5" t="inlineStr">
        <is>
          <t>已联系未回复</t>
        </is>
      </c>
      <c r="P5"/>
      <c r="Q5" t="inlineStr">
        <is>
          <t>静安卫健委沙特乌兹团组</t>
        </is>
      </c>
      <c r="R5"/>
      <c r="S5"/>
      <c r="T5"/>
    </row>
    <row r="6" ht="25.5" customHeight="1">
      <c r="A6" t="inlineStr">
        <is>
          <t>Seha虚拟医院/Seha Virtual Hospital</t>
        </is>
      </c>
      <c r="B6" t="inlineStr">
        <is>
          <t>沙特阿拉伯</t>
        </is>
      </c>
      <c r="C6" t="inlineStr">
        <is>
          <t>利雅得</t>
        </is>
      </c>
      <c r="D6" t="inlineStr">
        <is>
          <t>医院</t>
        </is>
      </c>
      <c r="E6" t="inlineStr">
        <is>
          <t>医疗行业</t>
        </is>
      </c>
      <c r="F6"/>
      <c r="G6" s="2"/>
      <c r="H6" t="inlineStr">
        <is>
          <t>(Seha) virtual hospital is a specialized hospital that uses the latest innovative technologies to provide specialized services and support health facilities in the Kingdom,It supports 170 hospitals around the Kingdom,and provides 29 basic specialized health services,in addition to more than 73 sub-specialty services,and employs more than 150 male and female doctors,with a capacity of more than 480,000 patients annually.The Seha Virtual Hospital is one of the priority initiatives in the health sector transformation program that serves the vision,enhances the culture of virtual medicine in health authorities,and provides the best virtual health services at the national and global levels.</t>
        </is>
      </c>
      <c r="I6" t="inlineStr">
        <is>
          <t>Khalid Alqammash</t>
        </is>
      </c>
      <c r="J6" t="inlineStr">
        <is>
          <t>Executive Vice President</t>
        </is>
      </c>
      <c r="K6" t="inlineStr">
        <is>
          <t>linkedin.com/in/khalid-alqammash-965a049</t>
        </is>
      </c>
      <c r="L6" s="2"/>
      <c r="M6"/>
      <c r="N6" s="3">
        <v>45944</v>
      </c>
      <c r="O6" t="inlineStr">
        <is>
          <t>已联系未回复</t>
        </is>
      </c>
      <c r="P6"/>
      <c r="Q6" t="inlineStr">
        <is>
          <t>静安卫健委沙特乌兹团组</t>
        </is>
      </c>
      <c r="R6"/>
      <c r="S6"/>
      <c r="T6"/>
    </row>
    <row r="7" ht="25.5" customHeight="1">
      <c r="A7" t="inlineStr">
        <is>
          <t>Seha虚拟医院/Seha Virtual Hospital</t>
        </is>
      </c>
      <c r="B7" t="inlineStr">
        <is>
          <t>沙特阿拉伯</t>
        </is>
      </c>
      <c r="C7" t="inlineStr">
        <is>
          <t>利雅得</t>
        </is>
      </c>
      <c r="D7" t="inlineStr">
        <is>
          <t>医院</t>
        </is>
      </c>
      <c r="E7" t="inlineStr">
        <is>
          <t>医疗行业</t>
        </is>
      </c>
      <c r="F7"/>
      <c r="G7" s="2"/>
      <c r="H7" t="inlineStr">
        <is>
          <t>(Seha) virtual hospital is a specialized hospital that uses the latest innovative technologies to provide specialized services and support health facilities in the Kingdom,It supports 170 hospitals around the Kingdom,and provides 29 basic specialized health services,in addition to more than 73 sub-specialty services,and employs more than 150 male and female doctors,with a capacity of more than 480,000 patients annually.The Seha Virtual Hospital is one of the priority initiatives in the health sector transformation program that serves the vision,enhances the culture of virtual medicine in health authorities,and provides the best virtual health services at the national and global levels.​</t>
        </is>
      </c>
      <c r="I7" t="inlineStr">
        <is>
          <t>Hamdan Alshammari</t>
        </is>
      </c>
      <c r="J7" t="inlineStr">
        <is>
          <t>Digital Enablement Director</t>
        </is>
      </c>
      <c r="K7" t="inlineStr">
        <is>
          <t>https://www.linkedin.com/in/hamdanalshamari/</t>
        </is>
      </c>
      <c r="L7" s="2" t="str">
        <f>=HYPERLINK("hamdanz@outlook.sa", "hamdanz@outlook.sa")</f>
        <v>hamdanz@outlook.sa</v>
      </c>
      <c r="M7"/>
      <c r="N7" s="3">
        <v>45944</v>
      </c>
      <c r="O7" t="inlineStr">
        <is>
          <t>已联系未回复</t>
        </is>
      </c>
      <c r="P7"/>
      <c r="Q7" t="inlineStr">
        <is>
          <t>静安卫健委沙特乌兹团组</t>
        </is>
      </c>
      <c r="R7"/>
      <c r="S7"/>
      <c r="T7"/>
    </row>
    <row r="8" ht="25.5" customHeight="1">
      <c r="A8" t="inlineStr">
        <is>
          <t xml:space="preserve">华大基因源泉医疗服务有限公司/BGI Genomics Source Healthcare Services Co., Ltd. </t>
        </is>
      </c>
      <c r="B8" t="inlineStr">
        <is>
          <t>沙特阿拉伯</t>
        </is>
      </c>
      <c r="C8" t="inlineStr">
        <is>
          <t>利雅得</t>
        </is>
      </c>
      <c r="D8" t="inlineStr">
        <is>
          <t>企业</t>
        </is>
      </c>
      <c r="E8" t="inlineStr">
        <is>
          <t>医疗行业</t>
        </is>
      </c>
      <c r="F8"/>
      <c r="G8" s="2"/>
      <c r="H8" t="inlineStr">
        <is>
          <t>华大基因子公司,总部设在沙特阿拉伯利雅得,目前为中东和北非地区的客户提供服务,覆盖巴林、科威特、卡塔尔、土耳其、阿曼和埃及等国家。
我们将持续助力沙特医疗行业的可持续发展,提升当地人民健康福祉,推动绿色生态、人才培养,科研交流等方面的友好合作,为对接共建“一带一路”倡议和沙特“2030愿景”贡献自身力量。</t>
        </is>
      </c>
      <c r="I8" t="inlineStr">
        <is>
          <t>魏先生</t>
        </is>
      </c>
      <c r="J8"/>
      <c r="K8"/>
      <c r="L8" s="2" t="str">
        <f>=HYPERLINK("weiguozhi@bgi.com", "weiguozhi@bgi.com")</f>
        <v>weiguozhi@bgi.com</v>
      </c>
      <c r="M8" t="inlineStr">
        <is>
          <t>553740628</t>
        </is>
      </c>
      <c r="N8" s="3">
        <v>45944</v>
      </c>
      <c r="O8" t="inlineStr">
        <is>
          <t>推进中</t>
        </is>
      </c>
      <c r="P8"/>
      <c r="Q8" t="inlineStr">
        <is>
          <t>静安卫健委沙特乌兹团组</t>
        </is>
      </c>
      <c r="R8"/>
      <c r="S8"/>
      <c r="T8"/>
    </row>
    <row r="9" ht="25.5" customHeight="1">
      <c r="A9" t="inlineStr">
        <is>
          <t>沙特阿拉伯卫生专业委员会/Saudi Commission for Health Specialties</t>
        </is>
      </c>
      <c r="B9" t="inlineStr">
        <is>
          <t>沙特阿拉伯</t>
        </is>
      </c>
      <c r="C9" t="inlineStr">
        <is>
          <t>利雅得</t>
        </is>
      </c>
      <c r="D9" t="inlineStr">
        <is>
          <t>政府</t>
        </is>
      </c>
      <c r="E9" t="inlineStr">
        <is>
          <t>医疗行业</t>
        </is>
      </c>
      <c r="F9"/>
      <c r="G9" s="2"/>
      <c r="H9" t="inlineStr">
        <is>
          <t>Saudi Commission for Health Specialties is an independent scientific and professional Commission established in 1992 by a royal decree.
The authority is centered around the training and testing of health practitioners,training programs,and their accreditation and health transactions,with the development of continuous education on an ongoing basis,in addition to health care and other related tasks.</t>
        </is>
      </c>
      <c r="I9" t="inlineStr">
        <is>
          <t>Dr. Saud Alarifi</t>
        </is>
      </c>
      <c r="J9" t="inlineStr">
        <is>
          <t>Program director</t>
        </is>
      </c>
      <c r="K9" t="inlineStr">
        <is>
          <t>linkedin.com/in/dr-saud-alarifi-15386a23</t>
        </is>
      </c>
      <c r="L9" s="2" t="str">
        <f>=HYPERLINK("pt_saud2004@hotmail.com", "pt_saud2004@hotmail.com")</f>
        <v>pt_saud2004@hotmail.com</v>
      </c>
      <c r="M9"/>
      <c r="N9" s="3">
        <v>45944</v>
      </c>
      <c r="O9" t="inlineStr">
        <is>
          <t>已联系未回复</t>
        </is>
      </c>
      <c r="P9"/>
      <c r="Q9" t="inlineStr">
        <is>
          <t>静安卫健委沙特乌兹团组</t>
        </is>
      </c>
      <c r="R9"/>
      <c r="S9"/>
      <c r="T9"/>
    </row>
    <row r="10" ht="25.5" customHeight="1">
      <c r="A10" t="inlineStr">
        <is>
          <t>利雅得第一健康集群/Riyadh First Health Cluster</t>
        </is>
      </c>
      <c r="B10" t="inlineStr">
        <is>
          <t>沙特阿拉伯</t>
        </is>
      </c>
      <c r="C10" t="inlineStr">
        <is>
          <t>利雅得</t>
        </is>
      </c>
      <c r="D10" t="inlineStr">
        <is>
          <t>协会</t>
        </is>
      </c>
      <c r="E10" t="inlineStr">
        <is>
          <t>医疗行业</t>
        </is>
      </c>
      <c r="F10"/>
      <c r="G10" s="2"/>
      <c r="H10" t="inlineStr">
        <is>
          <t>Hospitals and Health Care</t>
        </is>
      </c>
      <c r="I10" t="inlineStr">
        <is>
          <t>Dr. Saud Alarifi</t>
        </is>
      </c>
      <c r="J10" t="inlineStr">
        <is>
          <t>Academic Programs Director</t>
        </is>
      </c>
      <c r="K10" t="inlineStr">
        <is>
          <t>linkedin.com/in/dr-saud-alarifi-15386a23</t>
        </is>
      </c>
      <c r="L10" s="2" t="str">
        <f>=HYPERLINK("pt_saud2004@hotmail.com", "pt_saud2004@hotmail.com")</f>
        <v>pt_saud2004@hotmail.com</v>
      </c>
      <c r="M10"/>
      <c r="N10" s="3">
        <v>45944</v>
      </c>
      <c r="O10" t="inlineStr">
        <is>
          <t>已联系未回复</t>
        </is>
      </c>
      <c r="P10"/>
      <c r="Q10" t="inlineStr">
        <is>
          <t>静安卫健委沙特乌兹团组</t>
        </is>
      </c>
      <c r="R10"/>
      <c r="S10"/>
      <c r="T10"/>
    </row>
    <row r="11" ht="25.5" customHeight="1">
      <c r="A11" t="inlineStr">
        <is>
          <t xml:space="preserve">沙特阿拉伯中资企业协会/Saudi Chinese Business Association </t>
        </is>
      </c>
      <c r="B11" t="inlineStr">
        <is>
          <t>沙特阿拉伯</t>
        </is>
      </c>
      <c r="C11" t="inlineStr">
        <is>
          <t>利雅得</t>
        </is>
      </c>
      <c r="D11" t="inlineStr">
        <is>
          <t>协会</t>
        </is>
      </c>
      <c r="E11" t="inlineStr">
        <is>
          <t>医疗行业</t>
        </is>
      </c>
      <c r="F11"/>
      <c r="G11" s="2"/>
      <c r="H11" t="inlineStr">
        <is>
          <t>在中华人民共和国驻沙特阿拉伯王国大使馆经济商务参赞处（以下简称使馆经商处）的指导和支持下,沙特阿拉伯中资企业协会（以下简称协会）于2010年3月正式成立。自此,在沙中资企业开始聚沙成塔、积流成海。
秉持着践行国家政府战略、促进双边贸易合作、服务在沙中资企业的初心,协会发展至今已成为使馆经商处可以依靠的左膀右臂、中资企业可以依赖的家人朋友、沙特政商界可以合作的中坚力量。
作为自律性社会团体,协会由在使馆经商处备案登记的中资企业、机构自愿加入,接受使馆经商处和驻吉达总领馆经商室协调和业务指导。目前协会会员单位80余家,覆盖工程承包、能源、电信、机械设备、贸易投资和物流服务等各领域。
在中沙全面战略伙伴关系不断发展、中国“一带一路”对接沙特“2030愿景”逐步深化的历史机遇期,协会将在各界的支持下,一如既往地发挥自身优势并与时俱进的创新工作方法,为在沙中资企业的深耕和两国的长远发展贡献一己之力。</t>
        </is>
      </c>
      <c r="I11"/>
      <c r="J11"/>
      <c r="K11"/>
      <c r="L11" s="2" t="str">
        <f>=HYPERLINK("accsaudiarabia@163.com", "accsaudiarabia@163.com")</f>
        <v>accsaudiarabia@163.com</v>
      </c>
      <c r="M11"/>
      <c r="N11" s="3">
        <v>45944</v>
      </c>
      <c r="O11" t="inlineStr">
        <is>
          <t>已联系未回复</t>
        </is>
      </c>
      <c r="P11"/>
      <c r="Q11" t="inlineStr">
        <is>
          <t>静安卫健委沙特乌兹团组</t>
        </is>
      </c>
      <c r="R11"/>
      <c r="S11"/>
      <c r="T11"/>
    </row>
    <row r="12" ht="25.5" customHeight="1">
      <c r="A12" t="inlineStr">
        <is>
          <t>沙特阿拉伯投资部/Ministry of Investment, MISA</t>
        </is>
      </c>
      <c r="B12" t="inlineStr">
        <is>
          <t>沙特阿拉伯</t>
        </is>
      </c>
      <c r="C12" t="inlineStr">
        <is>
          <t>利雅得</t>
        </is>
      </c>
      <c r="D12" t="inlineStr">
        <is>
          <t>政府</t>
        </is>
      </c>
      <c r="E12" t="inlineStr">
        <is>
          <t>医疗行业</t>
        </is>
      </c>
      <c r="F12"/>
      <c r="G12" s="2"/>
      <c r="H12" t="inlineStr">
        <is>
          <t>The ministry of investment is led by His Excellency Minister Khalid A. Al-Falih and is responsible for promoting the many opportunities that are within Saudi Arabia to investors as a favorable investment destination in the region and throughout world.  
Established in 2000,MISA facilitates introductions for investors to key stakeholders to support their business,and offer advice and services to companies from the initial planning stage of their investment to comprehensive aftercare once they have established themselves in the Kingdom.</t>
        </is>
      </c>
      <c r="I12"/>
      <c r="J12"/>
      <c r="K12"/>
      <c r="L12" s="2" t="str">
        <f>=HYPERLINK("InvestorCare@misa.gov.sa", "InvestorCare@misa.gov.sa")</f>
        <v>InvestorCare@misa.gov.sa</v>
      </c>
      <c r="M12" t="inlineStr">
        <is>
          <t>86 136 3666 4163</t>
        </is>
      </c>
      <c r="N12" s="3">
        <v>45944</v>
      </c>
      <c r="O12" t="inlineStr">
        <is>
          <t>已联系未回复</t>
        </is>
      </c>
      <c r="P12"/>
      <c r="Q12" t="inlineStr">
        <is>
          <t>静安卫健委沙特乌兹团组</t>
        </is>
      </c>
      <c r="R12"/>
      <c r="S12"/>
      <c r="T12"/>
    </row>
    <row r="13" ht="25.5" customHeight="1">
      <c r="A13" t="inlineStr">
        <is>
          <t>沙特公共卫生协会/Saudi Association of Public Health</t>
        </is>
      </c>
      <c r="B13" t="inlineStr">
        <is>
          <t>沙特阿拉伯</t>
        </is>
      </c>
      <c r="C13" t="inlineStr">
        <is>
          <t>利雅得</t>
        </is>
      </c>
      <c r="D13" t="inlineStr">
        <is>
          <t>协会</t>
        </is>
      </c>
      <c r="E13" t="inlineStr">
        <is>
          <t>医疗行业</t>
        </is>
      </c>
      <c r="F13"/>
      <c r="G13" s="2"/>
      <c r="H13" t="inlineStr">
        <is>
          <t>The Saudi Association for Public Health is the reference agency for public health in the Kingdom of Saudi Arabia.
It is under the custodianship of King Saud bin Abdulaziz University for Health Sciences,Ministry of Education,Kingdom of Saudi Arabia.</t>
        </is>
      </c>
      <c r="I13"/>
      <c r="J13"/>
      <c r="K13"/>
      <c r="L13" s="2" t="str">
        <f>=HYPERLINK("info@sa-saph.org", "info@sa-saph.org")</f>
        <v>info@sa-saph.org</v>
      </c>
      <c r="M13" t="inlineStr">
        <is>
          <t>966 11 42 99999</t>
        </is>
      </c>
      <c r="N13" s="3">
        <v>45944</v>
      </c>
      <c r="O13" t="inlineStr">
        <is>
          <t>已联系未回复</t>
        </is>
      </c>
      <c r="P13"/>
      <c r="Q13" t="inlineStr">
        <is>
          <t>静安卫健委沙特乌兹团组</t>
        </is>
      </c>
      <c r="R13"/>
      <c r="S13"/>
      <c r="T13"/>
    </row>
    <row r="14" ht="25.5" customHeight="1">
      <c r="A14" t="inlineStr">
        <is>
          <t>阿卜杜拉国王国际医学研究中心 (KAIMRC)/King Abdullah International Medical Research Center (KAIMRC)</t>
        </is>
      </c>
      <c r="B14" t="inlineStr">
        <is>
          <t>沙特阿拉伯</t>
        </is>
      </c>
      <c r="C14" t="inlineStr">
        <is>
          <t>利雅得</t>
        </is>
      </c>
      <c r="D14" t="inlineStr">
        <is>
          <t>研究中心</t>
        </is>
      </c>
      <c r="E14" t="inlineStr">
        <is>
          <t>医疗行业</t>
        </is>
      </c>
      <c r="F14"/>
      <c r="G14" s="2"/>
      <c r="H14" t="inlineStr">
        <is>
          <t>The King Abdullah International Medical Research Center (Kaimrc) Is A Leading Hub For Biomedical Research And Development (R&amp;D) And Clinical Research With Strong Focus On Biotechnology Development. It's Affiliated To The Saudi Ministry Of National Guards Health Affairs And Hospitals,And To King Saud Bin Abdulaziz University For Health Sciences. It Has Multiple Sites In Saudi Arabia With R&amp;D Activities That Spans Over A Wide Spectrum From Early Basic Research Through Translational Research And All The Way To Clinical Studies Including Phase I Clinical Trials.</t>
        </is>
      </c>
      <c r="I14" t="inlineStr">
        <is>
          <t>Ahmed Alaskar</t>
        </is>
      </c>
      <c r="J14" t="inlineStr">
        <is>
          <t>Executive Director</t>
        </is>
      </c>
      <c r="K14" t="inlineStr">
        <is>
          <t>https://www.linkedin.com/in/ahmed-alaskar-7526b68/</t>
        </is>
      </c>
      <c r="L14" s="2" t="str">
        <f>=HYPERLINK("alaskar98@yahoo.com", "alaskar98@yahoo.com")</f>
        <v>alaskar98@yahoo.com</v>
      </c>
      <c r="M14"/>
      <c r="N14" s="3">
        <v>45944</v>
      </c>
      <c r="O14" t="inlineStr">
        <is>
          <t>已联系已回复</t>
        </is>
      </c>
      <c r="P14"/>
      <c r="Q14" t="inlineStr">
        <is>
          <t>静安卫健委沙特乌兹团组</t>
        </is>
      </c>
      <c r="R14"/>
      <c r="S14" t="inlineStr">
        <is>
          <t>合作方向：
1. 前沿医学科研合作：组织国内顶尖医学院、研究型医院及生命科学国家重点实验室的高级别因公出访团组，与KAIMRC在 “肿瘤学、基因组医学、传染病、神经科学、再生医学” 等前沿领域建立联合研究项目或共建联合实验室。
2. 临床研究与转化医学培训：选派中国临床研究员、医师科学家赴该中心进行中长期访学，学习其先进的临床研究设计、试验管理、生物样本库运营及成果转化体系。
3. 联合举办国际学术会议：共同发起或主办聚焦海湾地区高发疾病、精准医疗、医疗人工智能等主题的高水平国际学术会议，提升双方在国际医学研究界的影响力。
4. 生物医学大数据与AI合作：利用其在临床数据与生物样本方面的资源优势，结合中方在人工智能算法与计算能力上的优势，开展在疾病预测模型、新药靶点发现等领域的协作。
5. 科研伦理与治理交流：学习其符合国际最高标准的科研伦理审查体系、受试者保护机制及科研诚信管理经验，助力中国合作机构提升临床研究治理水平。
合作领域：
核心领域：肿瘤精准治疗、感染与免疫性疾病、遗传与罕见病、创伤与急救医学。
特色领域：干细胞与细胞治疗、医学人工智能、生物样本库科学、药物临床试验。</t>
        </is>
      </c>
      <c r="T14"/>
    </row>
    <row r="15" ht="25.5" customHeight="1">
      <c r="A15" t="inlineStr">
        <is>
          <t>沙特药品工业公司SPIMACO</t>
        </is>
      </c>
      <c r="B15" t="inlineStr">
        <is>
          <t>沙特阿拉伯</t>
        </is>
      </c>
      <c r="C15" t="inlineStr">
        <is>
          <t>利雅得</t>
        </is>
      </c>
      <c r="D15" t="inlineStr">
        <is>
          <t>研究中心</t>
        </is>
      </c>
      <c r="E15" t="inlineStr">
        <is>
          <t>医疗行业</t>
        </is>
      </c>
      <c r="F15"/>
      <c r="G15" s="2"/>
      <c r="H15" t="inlineStr">
        <is>
          <t>Saudi Pharmaceutical Industries &amp; Medical Appliances Corporation (SPIMACO) is a Saudi Joint–Stock company with a fully paid-up capital of SR 1,200,000,000 . It was established in 1986 .</t>
        </is>
      </c>
      <c r="I15"/>
      <c r="J15"/>
      <c r="K15" t="inlineStr">
        <is>
          <t>https://www.linkedin.com/company/spimaco/about/</t>
        </is>
      </c>
      <c r="L15" s="2" t="str">
        <f>=HYPERLINK("Info@spimaco.sa", "Info@spimaco.sa")</f>
        <v>Info@spimaco.sa</v>
      </c>
      <c r="M15" t="inlineStr">
        <is>
          <t>112523333</t>
        </is>
      </c>
      <c r="N15" s="3">
        <v>45945</v>
      </c>
      <c r="O15" t="inlineStr">
        <is>
          <t>已联系未回复</t>
        </is>
      </c>
      <c r="P15"/>
      <c r="Q15" t="inlineStr">
        <is>
          <t>静安卫健委沙特乌兹团组</t>
        </is>
      </c>
      <c r="R15"/>
      <c r="S15"/>
      <c r="T15"/>
    </row>
    <row r="16" ht="25.5" customHeight="1">
      <c r="A16" t="inlineStr">
        <is>
          <t>CAD中东制药工业有限公司/CAD Middle East Pharmaceutical Industries LLC</t>
        </is>
      </c>
      <c r="B16" t="inlineStr">
        <is>
          <t>沙特阿拉伯</t>
        </is>
      </c>
      <c r="C16" t="inlineStr">
        <is>
          <t>利雅得</t>
        </is>
      </c>
      <c r="D16" t="inlineStr">
        <is>
          <t>企业</t>
        </is>
      </c>
      <c r="E16" t="inlineStr">
        <is>
          <t>医疗行业</t>
        </is>
      </c>
      <c r="F16"/>
      <c r="G16" s="2"/>
      <c r="H16" t="inlineStr">
        <is>
          <t>CAD’s vision is to become the most preferred and dependable partner worldwide for APIs and CRAMS in the MENA region by 2020. 
CAD’s mission is to become one of the premier manufacturer of high quality Active Pharmaceutical Ingredients worldwide through Innovation,quality,advanced technology,equipment and meeting the needs of its clients under the guidelines of USFDA,EDQM/EMEA and cGMP in most effective manner.</t>
        </is>
      </c>
      <c r="I16" t="inlineStr">
        <is>
          <t xml:space="preserve">   Khalid Aldukhiel</t>
        </is>
      </c>
      <c r="J16" t="inlineStr">
        <is>
          <t>Sr.Director HR&amp;Administrative affair</t>
        </is>
      </c>
      <c r="K16" t="inlineStr">
        <is>
          <t>https://www.linkedin.com/in/khalid-aldukhiel-b8883677/</t>
        </is>
      </c>
      <c r="L16" s="2" t="str">
        <f>=HYPERLINK("k.dukhiel@cadmiddleast.com", "k.dukhiel@cadmiddleast.com")</f>
        <v>k.dukhiel@cadmiddleast.com</v>
      </c>
      <c r="M16" t="inlineStr">
        <is>
          <t>966 112201151-1133</t>
        </is>
      </c>
      <c r="N16" s="3">
        <v>45945</v>
      </c>
      <c r="O16" t="inlineStr">
        <is>
          <t>已联系未回复</t>
        </is>
      </c>
      <c r="P16"/>
      <c r="Q16" t="inlineStr">
        <is>
          <t>静安卫健委沙特乌兹团组</t>
        </is>
      </c>
      <c r="R16"/>
      <c r="S16"/>
      <c r="T16"/>
    </row>
    <row r="17" ht="25.5" customHeight="1">
      <c r="A17" t="inlineStr">
        <is>
          <t>沙特阿拉伯中国商务处/China Business Office in Saudi Arabia</t>
        </is>
      </c>
      <c r="B17" t="inlineStr">
        <is>
          <t>沙特阿拉伯</t>
        </is>
      </c>
      <c r="C17" t="inlineStr">
        <is>
          <t>利雅得</t>
        </is>
      </c>
      <c r="D17" t="inlineStr">
        <is>
          <t>政府</t>
        </is>
      </c>
      <c r="E17" t="inlineStr">
        <is>
          <t>医疗行业</t>
        </is>
      </c>
      <c r="F17"/>
      <c r="G17" s="2"/>
      <c r="H17"/>
      <c r="I17" t="inlineStr">
        <is>
          <t>穆雷</t>
        </is>
      </c>
      <c r="J17"/>
      <c r="K17"/>
      <c r="L17" s="2"/>
      <c r="M17" t="inlineStr">
        <is>
          <t>64681344</t>
        </is>
      </c>
      <c r="N17" s="3">
        <v>45945</v>
      </c>
      <c r="O17" t="inlineStr">
        <is>
          <t>已联系已回复</t>
        </is>
      </c>
      <c r="P17"/>
      <c r="Q17" t="inlineStr">
        <is>
          <t>静安卫健委沙特乌兹团组</t>
        </is>
      </c>
      <c r="R17"/>
      <c r="S17" t="inlineStr">
        <is>
          <t>合作方向：
1. 政府与企业代表团高层对接：组织各省市商务厅局、贸促会、大型国企及民企的因公出访团组，与商务处建立直接联系，获取沙特区位、政策、项目及合作方精准信息，并安排与沙特政府机构、商协会及重点企业的官方会晤与商务洽谈。
2. 沙特市场准入与政策法规咨询：作为权威信息渠道，为计划进入沙特市场的中国企业提供最新的投资法规、行业标准、税务政策、劳工法律及本地化要求等关键合规指导。
3. 重大项目和招标信息对接：协助中国企业获取沙特“2030愿景”项下重大项目（如NEOM新城、红海项目、Qiddiya娱乐城等）的官方招标信息、合作伙伴推荐及投标策略支持。
4. 危机应对与权益保护：在沙中资企业遇到经营纠纷、法律风险或突发事件时，提供必要的官方协调、法律援助及领事保护渠道指引。
5. 双向投资促进活动：联合商务处共同在华举办沙特投资环境推介会，或在沙特举办中国省市/行业专题招商会，搭建高效务实的双向投资促进平台。
合作领域：
核心领域：能源与石化、基础设施建设、信息技术与数字经济、工业与制造业合作。
特色领域：绿色能源与氢能、矿业与矿产资源、物流与供应链、文化旅游与娱乐产业。</t>
        </is>
      </c>
      <c r="T17"/>
    </row>
    <row r="18" ht="25.5" customHeight="1">
      <c r="A18" t="inlineStr">
        <is>
          <t xml:space="preserve">阿哈雅医疗公司有限公司/AlHaya Medical Company Ltd. </t>
        </is>
      </c>
      <c r="B18" t="inlineStr">
        <is>
          <t>沙特阿拉伯</t>
        </is>
      </c>
      <c r="C18" t="inlineStr">
        <is>
          <t>利雅得</t>
        </is>
      </c>
      <c r="D18" t="inlineStr">
        <is>
          <t>企业</t>
        </is>
      </c>
      <c r="E18" t="inlineStr">
        <is>
          <t>医疗行业</t>
        </is>
      </c>
      <c r="F18"/>
      <c r="G18" s="2"/>
      <c r="H18" t="inlineStr">
        <is>
          <t>A modern pioneering spirit,one of the largest pharmaceutical,medical supplies and health care distributors with a huge share of pharma in the Kingdom of Saudi Arabia,supported by a solid and sound financial policy gave AMCO,to develop and serve the growing and changing domestic medical market of the Kingdom of Saudi Arabia over a period of more than thirty five years,the moral and genuine reputation it enjoys today from its overseas suppliers and its local clients</t>
        </is>
      </c>
      <c r="I18" t="inlineStr">
        <is>
          <t>Eng.Hamza AlKhalili</t>
        </is>
      </c>
      <c r="J18" t="inlineStr">
        <is>
          <t>Training and Development Manager</t>
        </is>
      </c>
      <c r="K18" t="inlineStr">
        <is>
          <t>https://www.linkedin.com/in/eng-hamza-alkhalili-cldm-pmp-cdcd-mba-4032a018/</t>
        </is>
      </c>
      <c r="L18" s="2" t="str">
        <f>=HYPERLINK("wildbird911@gmail.com", "wildbird911@gmail.com")</f>
        <v>wildbird911@gmail.com</v>
      </c>
      <c r="M18" t="inlineStr">
        <is>
          <t>966568526808</t>
        </is>
      </c>
      <c r="N18" s="3">
        <v>45945</v>
      </c>
      <c r="O18" t="inlineStr">
        <is>
          <t>已联系已回复</t>
        </is>
      </c>
      <c r="P18"/>
      <c r="Q18" t="inlineStr">
        <is>
          <t>静安卫健委沙特乌兹团组</t>
        </is>
      </c>
      <c r="R18"/>
      <c r="S18" t="inlineStr">
        <is>
          <t>合作方向：
1. 医疗产品引进与市场开拓：组织国内医疗器械代理商、医院采购部门或相关产业园区因公出访团组，考察并评估其医疗产品线，探讨将符合中国市场需求的产品（如特定耗材、设备或康复产品）引入中国市场的合作路径。
2. 技术与生产合作：若该公司具备生产或研发能力，可探讨技术授权、合作生产或建立联合研发中心的可能性，推动其技术在中国本土化落地。
3. 医疗学术与培训交流：结合其产品特性，合作举办面向中国医护人员的专业培训或学术研讨会，提升产品临床应用水平与市场认知。
4. 供应链与区域代理合作：探讨建立其在华的区域代理或分销合作关系，完善其产品在中国的物流、仓储、售后服务体系。
合作领域：
核心领域：医疗器械与耗材、医疗设备、康复护理产品。
特色领域：特定专科医疗产品（如骨科、心血管、眼科等）、医院解决方案、医疗物资供应。</t>
        </is>
      </c>
      <c r="T18"/>
    </row>
    <row r="19" ht="25.5" customHeight="1">
      <c r="A19" t="inlineStr">
        <is>
          <t>沙特阿拉伯中国大使馆/Embassy of the People's Republic of China in Saudi Arabia</t>
        </is>
      </c>
      <c r="B19" t="inlineStr">
        <is>
          <t>沙特阿拉伯</t>
        </is>
      </c>
      <c r="C19" t="inlineStr">
        <is>
          <t>利雅得</t>
        </is>
      </c>
      <c r="D19" t="inlineStr">
        <is>
          <t>政府</t>
        </is>
      </c>
      <c r="E19" t="inlineStr">
        <is>
          <t>医疗行业</t>
        </is>
      </c>
      <c r="F19"/>
      <c r="G19" s="2"/>
      <c r="H19"/>
      <c r="I19"/>
      <c r="J19"/>
      <c r="K19"/>
      <c r="L19" s="2" t="str">
        <f>=HYPERLINK("cnemb@mofa.gov.sa", "cnemb@mofa.gov.sa")</f>
        <v>cnemb@mofa.gov.sa</v>
      </c>
      <c r="M19"/>
      <c r="N19" s="3">
        <v>45945</v>
      </c>
      <c r="O19" t="inlineStr">
        <is>
          <t>已联系未回复</t>
        </is>
      </c>
      <c r="P19"/>
      <c r="Q19" t="inlineStr">
        <is>
          <t>静安卫健委沙特乌兹团组</t>
        </is>
      </c>
      <c r="R19"/>
      <c r="S19"/>
      <c r="T19"/>
    </row>
    <row r="20" ht="25.5" customHeight="1">
      <c r="A20" t="inlineStr">
        <is>
          <t>利雅得中国医学中心/Riyadh Chinese Medical Center</t>
        </is>
      </c>
      <c r="B20" t="inlineStr">
        <is>
          <t>沙特阿拉伯</t>
        </is>
      </c>
      <c r="C20" t="inlineStr">
        <is>
          <t>利雅得</t>
        </is>
      </c>
      <c r="D20" t="inlineStr">
        <is>
          <t>医疗中心</t>
        </is>
      </c>
      <c r="E20" t="inlineStr">
        <is>
          <t>医疗行业</t>
        </is>
      </c>
      <c r="F20"/>
      <c r="G20" s="2"/>
      <c r="H20"/>
      <c r="I20"/>
      <c r="J20"/>
      <c r="K20"/>
      <c r="L20" s="2"/>
      <c r="M20" t="inlineStr">
        <is>
          <t>966112177736</t>
        </is>
      </c>
      <c r="N20" s="3"/>
      <c r="O20" t="inlineStr">
        <is>
          <t>已联系未回复</t>
        </is>
      </c>
      <c r="P20"/>
      <c r="Q20" t="inlineStr">
        <is>
          <t>静安卫健委沙特乌兹团组</t>
        </is>
      </c>
      <c r="R20"/>
      <c r="S20"/>
      <c r="T20"/>
    </row>
    <row r="21" ht="25.5" customHeight="1">
      <c r="A21" t="inlineStr">
        <is>
          <t>沙特中国中心/Saudi Chinese Center</t>
        </is>
      </c>
      <c r="B21" t="inlineStr">
        <is>
          <t>沙特阿拉伯</t>
        </is>
      </c>
      <c r="C21" t="inlineStr">
        <is>
          <t>利雅得</t>
        </is>
      </c>
      <c r="D21" t="inlineStr">
        <is>
          <t>医疗中心</t>
        </is>
      </c>
      <c r="E21" t="inlineStr">
        <is>
          <t>医疗行业</t>
        </is>
      </c>
      <c r="F21"/>
      <c r="G21" s="2"/>
      <c r="H21"/>
      <c r="I21"/>
      <c r="J21"/>
      <c r="K21"/>
      <c r="L21" s="2"/>
      <c r="M21" t="inlineStr">
        <is>
          <t>966503188424</t>
        </is>
      </c>
      <c r="N21" s="3"/>
      <c r="O21" t="inlineStr">
        <is>
          <t>已联系未回复</t>
        </is>
      </c>
      <c r="P21"/>
      <c r="Q21" t="inlineStr">
        <is>
          <t>静安卫健委沙特乌兹团组</t>
        </is>
      </c>
      <c r="R21"/>
      <c r="S21"/>
      <c r="T21"/>
    </row>
    <row r="22" ht="25.5" customHeight="1">
      <c r="A22" t="inlineStr">
        <is>
          <t>龙针灸中心/Dragon Acupuncture Center</t>
        </is>
      </c>
      <c r="B22" t="inlineStr">
        <is>
          <t>沙特阿拉伯</t>
        </is>
      </c>
      <c r="C22" t="inlineStr">
        <is>
          <t>利雅得</t>
        </is>
      </c>
      <c r="D22" t="inlineStr">
        <is>
          <t>诊所</t>
        </is>
      </c>
      <c r="E22" t="inlineStr">
        <is>
          <t>医疗行业</t>
        </is>
      </c>
      <c r="F22"/>
      <c r="G22" s="2"/>
      <c r="H22" t="inlineStr">
        <is>
          <t>Acupuncture clinic</t>
        </is>
      </c>
      <c r="I22"/>
      <c r="J22"/>
      <c r="K22"/>
      <c r="L22" s="2"/>
      <c r="M22" t="inlineStr">
        <is>
          <t>966537782299</t>
        </is>
      </c>
      <c r="N22" s="3"/>
      <c r="O22" t="inlineStr">
        <is>
          <t>已联系未回复</t>
        </is>
      </c>
      <c r="P22"/>
      <c r="Q22" t="inlineStr">
        <is>
          <t>静安卫健委沙特乌兹团组</t>
        </is>
      </c>
      <c r="R22"/>
      <c r="S22"/>
      <c r="T22"/>
    </row>
    <row r="23" ht="25.5" customHeight="1">
      <c r="A23" t="inlineStr">
        <is>
          <t>塔什干医学学院/Tashkent Medical Academy</t>
        </is>
      </c>
      <c r="B23" t="inlineStr">
        <is>
          <t>乌兹别克斯坦</t>
        </is>
      </c>
      <c r="C23" t="inlineStr">
        <is>
          <t>塔什干</t>
        </is>
      </c>
      <c r="D23" t="inlineStr">
        <is>
          <t>医科大学</t>
        </is>
      </c>
      <c r="E23" t="inlineStr">
        <is>
          <t>医疗行业</t>
        </is>
      </c>
      <c r="F23"/>
      <c r="G23" s="2" t="str">
        <f>=HYPERLINK("https://tma.uz/", "https://tma.uz")</f>
        <v>https://tma.uz</v>
      </c>
      <c r="H23"/>
      <c r="I23"/>
      <c r="J23"/>
      <c r="K23"/>
      <c r="L23" s="2" t="str">
        <f>=HYPERLINK("http://info@tma.uz", "info@tma.uz")</f>
        <v>info@tma.uz</v>
      </c>
      <c r="M23" t="inlineStr">
        <is>
          <t>+998 78 150-7801</t>
        </is>
      </c>
      <c r="N23" s="3"/>
      <c r="O23" t="inlineStr">
        <is>
          <t>已联系未回复</t>
        </is>
      </c>
      <c r="P23"/>
      <c r="Q23" t="inlineStr">
        <is>
          <t>静安卫健委沙特乌兹团组</t>
        </is>
      </c>
      <c r="R23"/>
      <c r="S23"/>
      <c r="T23"/>
    </row>
    <row r="24" ht="25.5" customHeight="1">
      <c r="A24" t="inlineStr">
        <is>
          <t>乌兹别克斯坦共和国疗法与医学康复专科科学实践医学中心/Republican Specialized Scientific-Practical Medical Center for Therapy and Medical Rehabilitation</t>
        </is>
      </c>
      <c r="B24" t="inlineStr">
        <is>
          <t>乌兹别克斯坦</t>
        </is>
      </c>
      <c r="C24" t="inlineStr">
        <is>
          <t>塔什干</t>
        </is>
      </c>
      <c r="D24" t="inlineStr">
        <is>
          <t>康复医疗中心</t>
        </is>
      </c>
      <c r="E24" t="inlineStr">
        <is>
          <t>医疗行业</t>
        </is>
      </c>
      <c r="F24"/>
      <c r="G24" s="2" t="str">
        <f>=HYPERLINK("https://www.therapy.uz/", "https://www.therapy.uz")</f>
        <v>https://www.therapy.uz</v>
      </c>
      <c r="H24"/>
      <c r="I24"/>
      <c r="J24"/>
      <c r="K24"/>
      <c r="L24" s="2"/>
      <c r="M24" t="inlineStr">
        <is>
          <t>+998 71 234-33-21</t>
        </is>
      </c>
      <c r="N24" s="3"/>
      <c r="O24" t="inlineStr">
        <is>
          <t>已联系未回复</t>
        </is>
      </c>
      <c r="P24"/>
      <c r="Q24" t="inlineStr">
        <is>
          <t>静安卫健委沙特乌兹团组</t>
        </is>
      </c>
      <c r="R24"/>
      <c r="S24"/>
      <c r="T24"/>
    </row>
    <row r="25" ht="25.5" customHeight="1">
      <c r="A25" t="inlineStr">
        <is>
          <t>中山中医诊所/Jong Shan Clinic of Traditional Chinese Medicine</t>
        </is>
      </c>
      <c r="B25" t="inlineStr">
        <is>
          <t>乌兹别克斯坦</t>
        </is>
      </c>
      <c r="C25" t="inlineStr">
        <is>
          <t>塔什干</t>
        </is>
      </c>
      <c r="D25" t="inlineStr">
        <is>
          <t>中医诊所</t>
        </is>
      </c>
      <c r="E25" t="inlineStr">
        <is>
          <t>医疗行业</t>
        </is>
      </c>
      <c r="F25"/>
      <c r="G25" s="2" t="str">
        <f>=HYPERLINK("https://www.goldenpages.uz/en/company/?Id=100856", "https://www.goldenpages.uz/en/company/?Id=100856")</f>
        <v>https://www.goldenpages.uz/en/company/?Id=100856</v>
      </c>
      <c r="H25"/>
      <c r="I25"/>
      <c r="J25"/>
      <c r="K25"/>
      <c r="L25" s="2"/>
      <c r="M25" t="inlineStr">
        <is>
          <t>+998 99 053-1998</t>
        </is>
      </c>
      <c r="N25" s="3"/>
      <c r="O25" t="inlineStr">
        <is>
          <t>已联系未回复</t>
        </is>
      </c>
      <c r="P25"/>
      <c r="Q25" t="inlineStr">
        <is>
          <t>静安卫健委沙特乌兹团组</t>
        </is>
      </c>
      <c r="R25"/>
      <c r="S25"/>
      <c r="T25"/>
    </row>
    <row r="26" ht="25.5" customHeight="1">
      <c r="A26" t="inlineStr">
        <is>
          <t>塔什干儿科医学学院Tashkent Pediatric Medical Institute</t>
        </is>
      </c>
      <c r="B26" t="inlineStr">
        <is>
          <t>乌兹别克斯坦</t>
        </is>
      </c>
      <c r="C26" t="inlineStr">
        <is>
          <t>塔什干</t>
        </is>
      </c>
      <c r="D26" t="inlineStr">
        <is>
          <t>医科大学</t>
        </is>
      </c>
      <c r="E26" t="inlineStr">
        <is>
          <t>医疗行业</t>
        </is>
      </c>
      <c r="F26"/>
      <c r="G26" s="2" t="str">
        <f>=HYPERLINK("https://tashpmi.uz/", "https://tashpmi.uz")</f>
        <v>https://tashpmi.uz</v>
      </c>
      <c r="H26"/>
      <c r="I26"/>
      <c r="J26"/>
      <c r="K26"/>
      <c r="L26" s="2" t="str">
        <f>=HYPERLINK("http://mail@tashpmi.uz", "mail@tashpmi.uz")</f>
        <v>mail@tashpmi.uz</v>
      </c>
      <c r="M26" t="inlineStr">
        <is>
          <t>+998-71-260-38-03 / +998-71-262-33-20</t>
        </is>
      </c>
      <c r="N26" s="3"/>
      <c r="O26" t="inlineStr">
        <is>
          <t>已联系未回复</t>
        </is>
      </c>
      <c r="P26"/>
      <c r="Q26" t="inlineStr">
        <is>
          <t>静安卫健委沙特乌兹团组</t>
        </is>
      </c>
      <c r="R26"/>
      <c r="S26"/>
      <c r="T26"/>
    </row>
    <row r="27" ht="25.5" customHeight="1">
      <c r="A27" t="inlineStr">
        <is>
          <t>乌兹别克斯坦共和国临床医院一号/Republican Clinical Hospital No. 1</t>
        </is>
      </c>
      <c r="B27" t="inlineStr">
        <is>
          <t>乌兹别克斯坦</t>
        </is>
      </c>
      <c r="C27" t="inlineStr">
        <is>
          <t>塔什干</t>
        </is>
      </c>
      <c r="D27" t="inlineStr">
        <is>
          <t>医院</t>
        </is>
      </c>
      <c r="E27" t="inlineStr">
        <is>
          <t>医疗行业</t>
        </is>
      </c>
      <c r="F27"/>
      <c r="G27" s="2" t="str">
        <f>=HYPERLINK("https://www.yellowpages.uz/en/company/republican-clinical-hospital-1", "https://www.yellowpages.uz/en/company/republican-clinical-hospital-1")</f>
        <v>https://www.yellowpages.uz/en/company/republican-clinical-hospital-1</v>
      </c>
      <c r="H27"/>
      <c r="I27"/>
      <c r="J27"/>
      <c r="K27"/>
      <c r="L27" s="2"/>
      <c r="M27" t="inlineStr">
        <is>
          <t>+998 71 233-0366</t>
        </is>
      </c>
      <c r="N27" s="3"/>
      <c r="O27" t="inlineStr">
        <is>
          <t>已联系未回复</t>
        </is>
      </c>
      <c r="P27"/>
      <c r="Q27" t="inlineStr">
        <is>
          <t>静安卫健委沙特乌兹团组</t>
        </is>
      </c>
      <c r="R27"/>
      <c r="S27"/>
      <c r="T27"/>
    </row>
    <row r="28" ht="25.5" customHeight="1">
      <c r="A28" t="inlineStr">
        <is>
          <t>塔什干市临床医院一号/City Clinical Hospital No. 1 (Tashkent)</t>
        </is>
      </c>
      <c r="B28" t="inlineStr">
        <is>
          <t>乌兹别克斯坦</t>
        </is>
      </c>
      <c r="C28" t="inlineStr">
        <is>
          <t>塔什干</t>
        </is>
      </c>
      <c r="D28" t="inlineStr">
        <is>
          <t>医院</t>
        </is>
      </c>
      <c r="E28" t="inlineStr">
        <is>
          <t>医疗行业</t>
        </is>
      </c>
      <c r="F28"/>
      <c r="G28" s="2" t="str">
        <f>=HYPERLINK("https://www.yellowpages.uz/en/company/city-clinical-hospital-1-tashkent", "https://www.yellowpages.uz/en/company/city-clinical-hospital-1-tashkent")</f>
        <v>https://www.yellowpages.uz/en/company/city-clinical-hospital-1-tashkent</v>
      </c>
      <c r="H28"/>
      <c r="I28"/>
      <c r="J28"/>
      <c r="K28"/>
      <c r="L28" s="2"/>
      <c r="M28" t="inlineStr">
        <is>
          <t>+998 71 249-3767</t>
        </is>
      </c>
      <c r="N28" s="3"/>
      <c r="O28" t="inlineStr">
        <is>
          <t>已联系未回复</t>
        </is>
      </c>
      <c r="P28"/>
      <c r="Q28" t="inlineStr">
        <is>
          <t>静安卫健委沙特乌兹团组</t>
        </is>
      </c>
      <c r="R28"/>
      <c r="S28"/>
      <c r="T28"/>
    </row>
    <row r="29" ht="25.5" customHeight="1">
      <c r="A29" t="inlineStr">
        <is>
          <t>乌兹别克斯坦共和国血液学专科科学实践医学中心/Republican Specialized Scientific-Practical Medical Center of Hematology</t>
        </is>
      </c>
      <c r="B29" t="inlineStr">
        <is>
          <t>乌兹别克斯坦</t>
        </is>
      </c>
      <c r="C29" t="inlineStr">
        <is>
          <t>塔什干</t>
        </is>
      </c>
      <c r="D29" t="inlineStr">
        <is>
          <t>特殊医疗中心</t>
        </is>
      </c>
      <c r="E29" t="inlineStr">
        <is>
          <t>医疗行业</t>
        </is>
      </c>
      <c r="F29"/>
      <c r="G29" s="2" t="str">
        <f>=HYPERLINK("https://hematology.uz/", "https://hematology.uz")</f>
        <v>https://hematology.uz</v>
      </c>
      <c r="H29"/>
      <c r="I29"/>
      <c r="J29"/>
      <c r="K29"/>
      <c r="L29" s="2" t="str">
        <f>=HYPERLINK("http://info.niigem@minzdrav.uz", "info.niigem@minzdrav.uz")</f>
        <v>info.niigem@minzdrav.uz</v>
      </c>
      <c r="M29" t="inlineStr">
        <is>
          <t>+998 71 278-79-35 / +998 71 273-63-16</t>
        </is>
      </c>
      <c r="N29" s="3"/>
      <c r="O29" t="inlineStr">
        <is>
          <t>已联系未回复</t>
        </is>
      </c>
      <c r="P29"/>
      <c r="Q29" t="inlineStr">
        <is>
          <t>静安卫健委沙特乌兹团组</t>
        </is>
      </c>
      <c r="R29"/>
      <c r="S29"/>
      <c r="T29"/>
    </row>
    <row r="30" ht="25.5" customHeight="1">
      <c r="A30" t="inlineStr">
        <is>
          <t>乌兹别克斯坦医学协会/Medical Association of Uzbekistan</t>
        </is>
      </c>
      <c r="B30" t="inlineStr">
        <is>
          <t>乌兹别克斯坦</t>
        </is>
      </c>
      <c r="C30" t="inlineStr">
        <is>
          <t>塔什干</t>
        </is>
      </c>
      <c r="D30" t="inlineStr">
        <is>
          <t>协会</t>
        </is>
      </c>
      <c r="E30" t="inlineStr">
        <is>
          <t>医疗行业</t>
        </is>
      </c>
      <c r="F30"/>
      <c r="G30" s="2" t="str">
        <f>=HYPERLINK("https://www.avuz.uz/", "https://www.avuz.uz/")</f>
        <v>https://www.avuz.uz/</v>
      </c>
      <c r="H30"/>
      <c r="I30"/>
      <c r="J30"/>
      <c r="K30"/>
      <c r="L30" s="2"/>
      <c r="M30" t="inlineStr">
        <is>
          <t xml:space="preserve">998 71 268 0817  </t>
        </is>
      </c>
      <c r="N30" s="3"/>
      <c r="O30" t="inlineStr">
        <is>
          <t>已联系未回复</t>
        </is>
      </c>
      <c r="P30"/>
      <c r="Q30" t="inlineStr">
        <is>
          <t>静安卫健委沙特乌兹团组</t>
        </is>
      </c>
      <c r="R30"/>
      <c r="S30"/>
      <c r="T30"/>
    </row>
    <row r="31" ht="25.5" customHeight="1">
      <c r="A31" t="inlineStr">
        <is>
          <t>中亚大学牙科学院和阿克法医疗/Central Asian University – School of Dentistry and AKFA Medline</t>
        </is>
      </c>
      <c r="B31" t="inlineStr">
        <is>
          <t>乌兹别克斯坦</t>
        </is>
      </c>
      <c r="C31" t="inlineStr">
        <is>
          <t>塔什干</t>
        </is>
      </c>
      <c r="D31" t="inlineStr">
        <is>
          <t>大学附属医院</t>
        </is>
      </c>
      <c r="E31" t="inlineStr">
        <is>
          <t>医疗行业</t>
        </is>
      </c>
      <c r="F31" t="inlineStr">
        <is>
          <t>乌兹别克斯坦，塔什干，米利博格街264号，邮政编码111221</t>
        </is>
      </c>
      <c r="G31" s="2" t="str">
        <f>=HYPERLINK("https://www.ucentralasia.org/", "https://www.ucentralasia.org/")</f>
        <v>https://www.ucentralasia.org/</v>
      </c>
      <c r="H31" t="inlineStr">
        <is>
          <t>中亚大学牙科学院（Central Asian University – School of Dentistry）是中亚地区领先的牙科教育和研究机构，致力于为学生提供高质量的牙科教育和专业培训。学院拥有先进的教学设施和临床实践机会，培养具有国际视野的牙科专业人才，为牙科领域的创新和发展做出贡献。学校致力于通过科研和临床实践，提高学生的专业技能，同时关注患者护理和健康管理。阿克法梅德林（AKFA Medline）是位于中亚的知名医疗机构，专注于提供高质量的医疗服务与健康管理。作为医疗行业的重要参与者，阿克法梅德林以其先进的医疗技术和专业的医疗团队闻名，提供包括诊疗、手术、康复等在内的全方位服务。机构秉承患者至上的理念，致力于改善人们的健康水平，并推动医学研究与创新。</t>
        </is>
      </c>
      <c r="I31" t="inlineStr">
        <is>
          <t>SARVARBEK RAKHMATILLAEV</t>
        </is>
      </c>
      <c r="J31" t="inlineStr">
        <is>
          <t>国际关系部负责人</t>
        </is>
      </c>
      <c r="K31"/>
      <c r="L31" s="2" t="str">
        <f>=HYPERLINK("mailto:s.rakhmatillayev@centralasian.uz", "s.rakhmatillayev@centralasian.uz")</f>
        <v>s.rakhmatillayev@centralasian.uz</v>
      </c>
      <c r="M31" t="inlineStr">
        <is>
          <t>+99890-9781171</t>
        </is>
      </c>
      <c r="N31" s="3">
        <v>45994</v>
      </c>
      <c r="O31" t="inlineStr">
        <is>
          <t>可长期合作</t>
        </is>
      </c>
      <c r="P31" t="inlineStr">
        <is>
          <t>对方式表示之前的交流非常好，并期待未来类似的拜访，希望在医疗微商教育，临床培训，联合学术项目，师生交流，两院医疗机构合作等方向产生合作</t>
        </is>
      </c>
      <c r="Q31" t="inlineStr">
        <is>
          <t>静安卫健委沙特乌兹团组</t>
        </is>
      </c>
      <c r="R31"/>
      <c r="S31" t="inlineStr">
        <is>
          <t>合作方向：
1. 教育学术合作：联合开展医疗卫生教育项目、临床培训课程及联合学术项目。
2. 人员交流：推动师生互访、临床观察、教学交流。
3. 机构协作：建立两院医疗机构间的长期合作项目，内容涵盖临床实践、技术交流与管理协同。
4. 专业发展：组织面向医护人员的专业技能提升与继续教育培训。
5. 公共卫生与科研：在口腔健康、医疗技术等领域开展联合研究与社区健康项目。
合作领域：
核心领域：口腔医学教育、临床牙科培训、医疗技术交流。
特色领域：医疗卫生机构管理协作、医护人员继续教育。
合作特点：合作围绕“医、教、研、管”一体化展开，强调临床与实践结合，具备明确的专业指向性与机构协作深度。</t>
        </is>
      </c>
      <c r="T31"/>
    </row>
    <row r="32" ht="25.5" customHeight="1">
      <c r="A32" t="inlineStr">
        <is>
          <t>曼彻斯特大学/The University of Manchester</t>
        </is>
      </c>
      <c r="B32" t="inlineStr">
        <is>
          <t>英国</t>
        </is>
      </c>
      <c r="C32" t="inlineStr">
        <is>
          <t>上海</t>
        </is>
      </c>
      <c r="D32" t="inlineStr">
        <is>
          <t>高校</t>
        </is>
      </c>
      <c r="E32" t="inlineStr">
        <is>
          <t>教育</t>
        </is>
      </c>
      <c r="F32"/>
      <c r="G32" s="2" t="str">
        <f>=HYPERLINK("http://manchester.ac.uk/china", "manchester.ac.uk/china")</f>
        <v>manchester.ac.uk/china</v>
      </c>
      <c r="H32" t="inlineStr">
        <is>
          <t>曼彻斯特大学</t>
        </is>
      </c>
      <c r="I32"/>
      <c r="J32"/>
      <c r="K32"/>
      <c r="L32" s="2"/>
      <c r="M32" t="inlineStr">
        <is>
          <t>86 21 6276 3500</t>
        </is>
      </c>
      <c r="N32" s="3"/>
      <c r="O32"/>
      <c r="P32"/>
      <c r="Q32" t="inlineStr">
        <is>
          <t>普陀人才局</t>
        </is>
      </c>
      <c r="R32"/>
      <c r="S32"/>
      <c r="T32"/>
    </row>
    <row r="33" ht="25.5" customHeight="1">
      <c r="A33" t="inlineStr">
        <is>
          <t>诺丁汉大学/University of Nottingham</t>
        </is>
      </c>
      <c r="B33" t="inlineStr">
        <is>
          <t>英国</t>
        </is>
      </c>
      <c r="C33" t="inlineStr">
        <is>
          <t>宁波</t>
        </is>
      </c>
      <c r="D33" t="inlineStr">
        <is>
          <t>高校</t>
        </is>
      </c>
      <c r="E33" t="inlineStr">
        <is>
          <t>教育</t>
        </is>
      </c>
      <c r="F33"/>
      <c r="G33" s="2" t="str">
        <f>=HYPERLINK("http://nottingham.edu.cn", "nottingham.edu.cn")</f>
        <v>nottingham.edu.cn</v>
      </c>
      <c r="H33" t="inlineStr">
        <is>
          <t>诺丁汉大学</t>
        </is>
      </c>
      <c r="I33"/>
      <c r="J33"/>
      <c r="K33"/>
      <c r="L33" s="2"/>
      <c r="M33" t="inlineStr">
        <is>
          <t>86 574 8818 0000</t>
        </is>
      </c>
      <c r="N33" s="3"/>
      <c r="O33"/>
      <c r="P33"/>
      <c r="Q33" t="inlineStr">
        <is>
          <t>普陀人才局</t>
        </is>
      </c>
      <c r="R33"/>
      <c r="S33"/>
      <c r="T33"/>
    </row>
    <row r="34" ht="25.5" customHeight="1">
      <c r="A34" t="inlineStr">
        <is>
          <t xml:space="preserve">朴茨茅斯大学/University of Portsmouth </t>
        </is>
      </c>
      <c r="B34" t="inlineStr">
        <is>
          <t>英国</t>
        </is>
      </c>
      <c r="C34" t="inlineStr">
        <is>
          <t>上海</t>
        </is>
      </c>
      <c r="D34" t="inlineStr">
        <is>
          <t>高校</t>
        </is>
      </c>
      <c r="E34" t="inlineStr">
        <is>
          <t>教育</t>
        </is>
      </c>
      <c r="F34"/>
      <c r="G34" s="2" t="str">
        <f>=HYPERLINK("http://port.ac.uk/international", "port.ac.uk/international")</f>
        <v>port.ac.uk/international</v>
      </c>
      <c r="H34" t="inlineStr">
        <is>
          <t>普茨茅斯大学</t>
        </is>
      </c>
      <c r="I34"/>
      <c r="J34"/>
      <c r="K34"/>
      <c r="L34" s="2"/>
      <c r="M34" t="inlineStr">
        <is>
          <t>+86 21 5830 3969</t>
        </is>
      </c>
      <c r="N34" s="3"/>
      <c r="O34"/>
      <c r="P34"/>
      <c r="Q34" t="inlineStr">
        <is>
          <t>普陀人才局</t>
        </is>
      </c>
      <c r="R34"/>
      <c r="S34"/>
      <c r="T34"/>
    </row>
    <row r="35" ht="25.5" customHeight="1">
      <c r="A35" t="inlineStr">
        <is>
          <t>利物浦大学/University of Liverpool</t>
        </is>
      </c>
      <c r="B35" t="inlineStr">
        <is>
          <t>英国</t>
        </is>
      </c>
      <c r="C35" t="inlineStr">
        <is>
          <t>上海</t>
        </is>
      </c>
      <c r="D35" t="inlineStr">
        <is>
          <t>高校</t>
        </is>
      </c>
      <c r="E35" t="inlineStr">
        <is>
          <t>教育</t>
        </is>
      </c>
      <c r="F35"/>
      <c r="G35" s="2" t="str">
        <f>=HYPERLINK("http://liverpool.ac.uk", "liverpool.ac.uk")</f>
        <v>liverpool.ac.uk</v>
      </c>
      <c r="H35" t="inlineStr">
        <is>
          <t>利物浦大学</t>
        </is>
      </c>
      <c r="I35"/>
      <c r="J35"/>
      <c r="K35"/>
      <c r="L35" s="2"/>
      <c r="M35"/>
      <c r="N35" s="3"/>
      <c r="O35"/>
      <c r="P35"/>
      <c r="Q35" t="inlineStr">
        <is>
          <t>普陀人才局</t>
        </is>
      </c>
      <c r="R35"/>
      <c r="S35"/>
      <c r="T35"/>
    </row>
    <row r="36" ht="25.5" customHeight="1">
      <c r="A36" t="inlineStr">
        <is>
          <t>伯明翰大学/University of Birmingham</t>
        </is>
      </c>
      <c r="B36" t="inlineStr">
        <is>
          <t>英国</t>
        </is>
      </c>
      <c r="C36" t="inlineStr">
        <is>
          <t>上海</t>
        </is>
      </c>
      <c r="D36" t="inlineStr">
        <is>
          <t>高校</t>
        </is>
      </c>
      <c r="E36" t="inlineStr">
        <is>
          <t>教育</t>
        </is>
      </c>
      <c r="F36"/>
      <c r="G36" s="2" t="str">
        <f>=HYPERLINK("http://birmingham.ac.uk/china", "birmingham.ac.uk/china")</f>
        <v>birmingham.ac.uk/china</v>
      </c>
      <c r="H36" t="inlineStr">
        <is>
          <t>伯明翰大学</t>
        </is>
      </c>
      <c r="I36"/>
      <c r="J36"/>
      <c r="K36"/>
      <c r="L36" s="2"/>
      <c r="M36" t="inlineStr">
        <is>
          <t>+86 21 5877 5880</t>
        </is>
      </c>
      <c r="N36" s="3"/>
      <c r="O36"/>
      <c r="P36"/>
      <c r="Q36" t="inlineStr">
        <is>
          <t>普陀人才局</t>
        </is>
      </c>
      <c r="R36"/>
      <c r="S36"/>
      <c r="T36"/>
    </row>
    <row r="37" ht="25.5" customHeight="1">
      <c r="A37" t="inlineStr">
        <is>
          <t>伦敦大学学院/University College London (UCL)</t>
        </is>
      </c>
      <c r="B37" t="inlineStr">
        <is>
          <t>英国</t>
        </is>
      </c>
      <c r="C37" t="inlineStr">
        <is>
          <t>上海</t>
        </is>
      </c>
      <c r="D37" t="inlineStr">
        <is>
          <t>高校</t>
        </is>
      </c>
      <c r="E37" t="inlineStr">
        <is>
          <t>教育</t>
        </is>
      </c>
      <c r="F37"/>
      <c r="G37" s="2" t="str">
        <f>=HYPERLINK("http://global.ucl.ac.uk", "global.ucl.ac.uk")</f>
        <v>global.ucl.ac.uk</v>
      </c>
      <c r="H37" t="inlineStr">
        <is>
          <t>伦敦大学学院</t>
        </is>
      </c>
      <c r="I37"/>
      <c r="J37"/>
      <c r="K37"/>
      <c r="L37" s="2"/>
      <c r="M37" t="inlineStr">
        <is>
          <t>+86 21 5831 4606</t>
        </is>
      </c>
      <c r="N37" s="3"/>
      <c r="O37"/>
      <c r="P37"/>
      <c r="Q37" t="inlineStr">
        <is>
          <t>普陀人才局</t>
        </is>
      </c>
      <c r="R37"/>
      <c r="S37"/>
      <c r="T37"/>
    </row>
    <row r="38" ht="25.5" customHeight="1">
      <c r="A38" t="inlineStr">
        <is>
          <t>牛津大学/University of Oxford</t>
        </is>
      </c>
      <c r="B38" t="inlineStr">
        <is>
          <t>英国</t>
        </is>
      </c>
      <c r="C38"/>
      <c r="D38" t="inlineStr">
        <is>
          <t>高校</t>
        </is>
      </c>
      <c r="E38" t="inlineStr">
        <is>
          <t>教育</t>
        </is>
      </c>
      <c r="F38"/>
      <c r="G38" s="2" t="str">
        <f>=HYPERLINK("http://ox.ac.uk/china", "ox.ac.uk/china")</f>
        <v>ox.ac.uk/china</v>
      </c>
      <c r="H38" t="inlineStr">
        <is>
          <t>牛津大学</t>
        </is>
      </c>
      <c r="I38"/>
      <c r="J38"/>
      <c r="K38"/>
      <c r="L38" s="2"/>
      <c r="M38" t="inlineStr">
        <is>
          <t>+86 10 8527 1200</t>
        </is>
      </c>
      <c r="N38" s="3"/>
      <c r="O38"/>
      <c r="P38"/>
      <c r="Q38" t="inlineStr">
        <is>
          <t>普陀人才局</t>
        </is>
      </c>
      <c r="R38"/>
      <c r="S38"/>
      <c r="T38"/>
    </row>
    <row r="39" ht="25.5" customHeight="1">
      <c r="A39" t="inlineStr">
        <is>
          <t>爱丁堡大学/University of Edinburgh</t>
        </is>
      </c>
      <c r="B39" t="inlineStr">
        <is>
          <t>英国</t>
        </is>
      </c>
      <c r="C39" t="inlineStr">
        <is>
          <t>上海</t>
        </is>
      </c>
      <c r="D39" t="inlineStr">
        <is>
          <t>高校</t>
        </is>
      </c>
      <c r="E39" t="inlineStr">
        <is>
          <t>教育</t>
        </is>
      </c>
      <c r="F39"/>
      <c r="G39" s="2" t="str">
        <f>=HYPERLINK("http://ed.ac.uk/global/east-asia", "ed.ac.uk/global/east-asia")</f>
        <v>ed.ac.uk/global/east-asia</v>
      </c>
      <c r="H39" t="inlineStr">
        <is>
          <t>爱丁堡大学</t>
        </is>
      </c>
      <c r="I39"/>
      <c r="J39"/>
      <c r="K39"/>
      <c r="L39" s="2"/>
      <c r="M39" t="inlineStr">
        <is>
          <t>+86 21 6279 8581</t>
        </is>
      </c>
      <c r="N39" s="3"/>
      <c r="O39"/>
      <c r="P39"/>
      <c r="Q39" t="inlineStr">
        <is>
          <t>普陀人才局</t>
        </is>
      </c>
      <c r="R39"/>
      <c r="S39"/>
      <c r="T39"/>
    </row>
    <row r="40" ht="25.5" customHeight="1">
      <c r="A40" t="inlineStr">
        <is>
          <t>都柏林大学学院/University College Dublin</t>
        </is>
      </c>
      <c r="B40" t="inlineStr">
        <is>
          <t>爱尔兰</t>
        </is>
      </c>
      <c r="C40"/>
      <c r="D40" t="inlineStr">
        <is>
          <t>高校</t>
        </is>
      </c>
      <c r="E40" t="inlineStr">
        <is>
          <t>教育</t>
        </is>
      </c>
      <c r="F40"/>
      <c r="G40" s="2" t="str">
        <f>=HYPERLINK("mailto:chinaoffice@ucd.ie", "chinaoffice@ucd.ie")</f>
        <v>chinaoffice@ucd.ie</v>
      </c>
      <c r="H40" t="inlineStr">
        <is>
          <t>都柏林大学</t>
        </is>
      </c>
      <c r="I40"/>
      <c r="J40"/>
      <c r="K40"/>
      <c r="L40" s="2"/>
      <c r="M40" t="inlineStr">
        <is>
          <t>010 5907 1631/1633</t>
        </is>
      </c>
      <c r="N40" s="3"/>
      <c r="O40"/>
      <c r="P40"/>
      <c r="Q40" t="inlineStr">
        <is>
          <t>普陀人才局</t>
        </is>
      </c>
      <c r="R40"/>
      <c r="S40"/>
      <c r="T40"/>
    </row>
    <row r="41" ht="25.5" customHeight="1">
      <c r="A41" t="inlineStr">
        <is>
          <t>科克大学学院/University College Cork</t>
        </is>
      </c>
      <c r="B41" t="inlineStr">
        <is>
          <t>爱尔兰</t>
        </is>
      </c>
      <c r="C41" t="inlineStr">
        <is>
          <t>上海</t>
        </is>
      </c>
      <c r="D41" t="inlineStr">
        <is>
          <t>高校</t>
        </is>
      </c>
      <c r="E41" t="inlineStr">
        <is>
          <t>教育</t>
        </is>
      </c>
      <c r="F41"/>
      <c r="G41" s="2" t="str">
        <f>=HYPERLINK("mailto:lluo@ucc.ie", "lluo@ucc.ie")</f>
        <v>lluo@ucc.ie</v>
      </c>
      <c r="H41" t="inlineStr">
        <is>
          <t>科克大学</t>
        </is>
      </c>
      <c r="I41"/>
      <c r="J41"/>
      <c r="K41"/>
      <c r="L41" s="2"/>
      <c r="M41" t="inlineStr">
        <is>
          <t>+86 216 077 7297</t>
        </is>
      </c>
      <c r="N41" s="3"/>
      <c r="O41"/>
      <c r="P41"/>
      <c r="Q41" t="inlineStr">
        <is>
          <t>普陀人才局</t>
        </is>
      </c>
      <c r="R41"/>
      <c r="S41"/>
      <c r="T41"/>
    </row>
    <row r="42" ht="25.5" customHeight="1">
      <c r="A42" t="inlineStr">
        <is>
          <t>梅努斯大学/Maynooth University</t>
        </is>
      </c>
      <c r="B42" t="inlineStr">
        <is>
          <t>爱尔兰</t>
        </is>
      </c>
      <c r="C42" t="inlineStr">
        <is>
          <t>福州</t>
        </is>
      </c>
      <c r="D42" t="inlineStr">
        <is>
          <t>高校</t>
        </is>
      </c>
      <c r="E42" t="inlineStr">
        <is>
          <t>教育</t>
        </is>
      </c>
      <c r="F42"/>
      <c r="G42" s="2" t="str">
        <f>=HYPERLINK("mailto:Chinese@mu.ie", "Chinese@mu.ie")</f>
        <v>Chinese@mu.ie</v>
      </c>
      <c r="H42" t="inlineStr">
        <is>
          <t>梅努斯大学</t>
        </is>
      </c>
      <c r="I42"/>
      <c r="J42"/>
      <c r="K42"/>
      <c r="L42" s="2"/>
      <c r="M42" t="inlineStr">
        <is>
          <t>353-1-474 7183</t>
        </is>
      </c>
      <c r="N42" s="3"/>
      <c r="O42"/>
      <c r="P42"/>
      <c r="Q42" t="inlineStr">
        <is>
          <t>普陀人才局</t>
        </is>
      </c>
      <c r="R42"/>
      <c r="S42"/>
      <c r="T42"/>
    </row>
    <row r="43" ht="25.5" customHeight="1">
      <c r="A43" t="inlineStr">
        <is>
          <t>都柏林三一学院/Trinity College Dublin</t>
        </is>
      </c>
      <c r="B43" t="inlineStr">
        <is>
          <t>爱尔兰</t>
        </is>
      </c>
      <c r="C43"/>
      <c r="D43" t="inlineStr">
        <is>
          <t>高校</t>
        </is>
      </c>
      <c r="E43" t="inlineStr">
        <is>
          <t>教育</t>
        </is>
      </c>
      <c r="F43"/>
      <c r="G43" s="2" t="str">
        <f>=HYPERLINK("mailto:zhaik@tcd.ie", "zhaik@tcd.ie")</f>
        <v>zhaik@tcd.ie</v>
      </c>
      <c r="H43" t="inlineStr">
        <is>
          <t>圣三一大学</t>
        </is>
      </c>
      <c r="I43"/>
      <c r="J43"/>
      <c r="K43"/>
      <c r="L43" s="2"/>
      <c r="M43" t="inlineStr">
        <is>
          <t>86 136 0195 8943</t>
        </is>
      </c>
      <c r="N43" s="3"/>
      <c r="O43"/>
      <c r="P43"/>
      <c r="Q43" t="inlineStr">
        <is>
          <t>普陀人才局</t>
        </is>
      </c>
      <c r="R43"/>
      <c r="S43"/>
      <c r="T43"/>
    </row>
    <row r="44" ht="25.5" customHeight="1">
      <c r="A44" t="inlineStr">
        <is>
          <t>香农科技大学/Technological University of the Shannon (TUS)</t>
        </is>
      </c>
      <c r="B44" t="inlineStr">
        <is>
          <t>爱尔兰</t>
        </is>
      </c>
      <c r="C44" t="inlineStr">
        <is>
          <t>上海</t>
        </is>
      </c>
      <c r="D44" t="inlineStr">
        <is>
          <t>高校</t>
        </is>
      </c>
      <c r="E44" t="inlineStr">
        <is>
          <t>教育</t>
        </is>
      </c>
      <c r="F44"/>
      <c r="G44" s="2" t="str">
        <f>=HYPERLINK("mailto:jackmj1982@hotmail.com", "jackmj1982@hotmail.com")</f>
        <v>jackmj1982@hotmail.com</v>
      </c>
      <c r="H44" t="inlineStr">
        <is>
          <t>香侬科技大学</t>
        </is>
      </c>
      <c r="I44"/>
      <c r="J44"/>
      <c r="K44"/>
      <c r="L44" s="2"/>
      <c r="M44" t="inlineStr">
        <is>
          <t>86 13671656724</t>
        </is>
      </c>
      <c r="N44" s="3"/>
      <c r="O44"/>
      <c r="P44"/>
      <c r="Q44" t="inlineStr">
        <is>
          <t>普陀人才局</t>
        </is>
      </c>
      <c r="R44"/>
      <c r="S44"/>
      <c r="T44"/>
    </row>
    <row r="45" ht="25.5" customHeight="1">
      <c r="A45" t="inlineStr">
        <is>
          <t>都柏林城市大学/Dublin City University（DCU）</t>
        </is>
      </c>
      <c r="B45" t="inlineStr">
        <is>
          <t>爱尔兰</t>
        </is>
      </c>
      <c r="C45"/>
      <c r="D45" t="inlineStr">
        <is>
          <t>高校</t>
        </is>
      </c>
      <c r="E45" t="inlineStr">
        <is>
          <t>教育</t>
        </is>
      </c>
      <c r="F45"/>
      <c r="G45" s="2" t="str">
        <f>=HYPERLINK("mailto:Chinadesk@dcu.ie", "Chinadesk@dcu.ie")</f>
        <v>Chinadesk@dcu.ie</v>
      </c>
      <c r="H45" t="inlineStr">
        <is>
          <t>都柏林城市大学</t>
        </is>
      </c>
      <c r="I45"/>
      <c r="J45"/>
      <c r="K45"/>
      <c r="L45" s="2"/>
      <c r="M45"/>
      <c r="N45" s="3"/>
      <c r="O45"/>
      <c r="P45"/>
      <c r="Q45" t="inlineStr">
        <is>
          <t>普陀人才局</t>
        </is>
      </c>
      <c r="R45"/>
      <c r="S45"/>
      <c r="T45"/>
    </row>
    <row r="46" ht="25.5" customHeight="1">
      <c r="A46" t="inlineStr">
        <is>
          <t>布拉德福德大学/University of Bradford</t>
        </is>
      </c>
      <c r="B46" t="inlineStr">
        <is>
          <t>英国</t>
        </is>
      </c>
      <c r="C46" t="inlineStr">
        <is>
          <t>上海</t>
        </is>
      </c>
      <c r="D46" t="inlineStr">
        <is>
          <t>高校</t>
        </is>
      </c>
      <c r="E46" t="inlineStr">
        <is>
          <t>教育</t>
        </is>
      </c>
      <c r="F46"/>
      <c r="G46" s="2" t="str">
        <f>=HYPERLINK("http://bradford.ac.uk/china", "bradford.ac.uk/china")</f>
        <v>bradford.ac.uk/china</v>
      </c>
      <c r="H46" t="inlineStr">
        <is>
          <t>布拉德福德大学</t>
        </is>
      </c>
      <c r="I46"/>
      <c r="J46"/>
      <c r="K46"/>
      <c r="L46" s="2"/>
      <c r="M46" t="inlineStr">
        <is>
          <t>86 21 6519 2488</t>
        </is>
      </c>
      <c r="N46" s="3"/>
      <c r="O46"/>
      <c r="P46"/>
      <c r="Q46" t="inlineStr">
        <is>
          <t>普陀人才局</t>
        </is>
      </c>
      <c r="R46"/>
      <c r="S46"/>
      <c r="T46"/>
    </row>
    <row r="47" ht="25.5" customHeight="1">
      <c r="A47" t="inlineStr">
        <is>
          <t>谢菲联大学/University of Sheffield</t>
        </is>
      </c>
      <c r="B47" t="inlineStr">
        <is>
          <t>英国</t>
        </is>
      </c>
      <c r="C47" t="inlineStr">
        <is>
          <t>上海</t>
        </is>
      </c>
      <c r="D47" t="inlineStr">
        <is>
          <t>高校</t>
        </is>
      </c>
      <c r="E47" t="inlineStr">
        <is>
          <t>教育</t>
        </is>
      </c>
      <c r="F47"/>
      <c r="G47" s="2" t="str">
        <f>=HYPERLINK("http://sheffield.ac.uk/international", "sheffield.ac.uk/international")</f>
        <v>sheffield.ac.uk/international</v>
      </c>
      <c r="H47" t="inlineStr">
        <is>
          <t>谢菲尔德大学</t>
        </is>
      </c>
      <c r="I47"/>
      <c r="J47"/>
      <c r="K47"/>
      <c r="L47" s="2"/>
      <c r="M47" t="inlineStr">
        <is>
          <t>86 21 6519 2488</t>
        </is>
      </c>
      <c r="N47" s="3"/>
      <c r="O47"/>
      <c r="P47"/>
      <c r="Q47" t="inlineStr">
        <is>
          <t>普陀人才局</t>
        </is>
      </c>
      <c r="R47"/>
      <c r="S47"/>
      <c r="T47"/>
    </row>
    <row r="48" ht="25.5" customHeight="1">
      <c r="A48" t="inlineStr">
        <is>
          <t>利兹大学/University of Leeds</t>
        </is>
      </c>
      <c r="B48" t="inlineStr">
        <is>
          <t>英国</t>
        </is>
      </c>
      <c r="C48" t="inlineStr">
        <is>
          <t>上海</t>
        </is>
      </c>
      <c r="D48" t="inlineStr">
        <is>
          <t>高校</t>
        </is>
      </c>
      <c r="E48" t="inlineStr">
        <is>
          <t>教育</t>
        </is>
      </c>
      <c r="F48"/>
      <c r="G48" s="2" t="str">
        <f>=HYPERLINK("http://leeds.ac.uk/china", "leeds.ac.uk/china")</f>
        <v>leeds.ac.uk/china</v>
      </c>
      <c r="H48" t="inlineStr">
        <is>
          <t>利兹大学</t>
        </is>
      </c>
      <c r="I48"/>
      <c r="J48"/>
      <c r="K48"/>
      <c r="L48" s="2"/>
      <c r="M48" t="inlineStr">
        <is>
          <t>86 21 6519 2488</t>
        </is>
      </c>
      <c r="N48" s="3"/>
      <c r="O48"/>
      <c r="P48"/>
      <c r="Q48" t="inlineStr">
        <is>
          <t>普陀人才局</t>
        </is>
      </c>
      <c r="R48"/>
      <c r="S48"/>
      <c r="T48"/>
    </row>
    <row r="49" ht="25.5" customHeight="1">
      <c r="A49" t="inlineStr">
        <is>
          <t>谢菲联哈勒姆大学/Sheffield Hallam University</t>
        </is>
      </c>
      <c r="B49" t="inlineStr">
        <is>
          <t>英国</t>
        </is>
      </c>
      <c r="C49" t="inlineStr">
        <is>
          <t>上海</t>
        </is>
      </c>
      <c r="D49" t="inlineStr">
        <is>
          <t>高校</t>
        </is>
      </c>
      <c r="E49" t="inlineStr">
        <is>
          <t>教育</t>
        </is>
      </c>
      <c r="F49"/>
      <c r="G49" s="2" t="str">
        <f>=HYPERLINK("http://shu.ac.uk/international", "shu.ac.uk/international")</f>
        <v>shu.ac.uk/international</v>
      </c>
      <c r="H49" t="inlineStr">
        <is>
          <t>谢菲尔德哈勒姆大学</t>
        </is>
      </c>
      <c r="I49"/>
      <c r="J49"/>
      <c r="K49"/>
      <c r="L49" s="2"/>
      <c r="M49" t="inlineStr">
        <is>
          <t>86 21 6519 2488</t>
        </is>
      </c>
      <c r="N49" s="3"/>
      <c r="O49"/>
      <c r="P49"/>
      <c r="Q49" t="inlineStr">
        <is>
          <t>普陀人才局</t>
        </is>
      </c>
      <c r="R49"/>
      <c r="S49"/>
      <c r="T49"/>
    </row>
    <row r="50" ht="25.5" customHeight="1">
      <c r="A50" t="inlineStr">
        <is>
          <t>哈德斯菲尔德大学/University of Huddersfield</t>
        </is>
      </c>
      <c r="B50" t="inlineStr">
        <is>
          <t>英国</t>
        </is>
      </c>
      <c r="C50" t="inlineStr">
        <is>
          <t>上海</t>
        </is>
      </c>
      <c r="D50" t="inlineStr">
        <is>
          <t>高校</t>
        </is>
      </c>
      <c r="E50" t="inlineStr">
        <is>
          <t>教育</t>
        </is>
      </c>
      <c r="F50"/>
      <c r="G50" s="2" t="str">
        <f>=HYPERLINK("http://hud.ac.uk/international", "hud.ac.uk/international")</f>
        <v>hud.ac.uk/international</v>
      </c>
      <c r="H50" t="inlineStr">
        <is>
          <t>哈德斯菲尔德大学</t>
        </is>
      </c>
      <c r="I50"/>
      <c r="J50"/>
      <c r="K50"/>
      <c r="L50" s="2"/>
      <c r="M50" t="inlineStr">
        <is>
          <t>86 21 6519 2488</t>
        </is>
      </c>
      <c r="N50" s="3"/>
      <c r="O50"/>
      <c r="P50"/>
      <c r="Q50" t="inlineStr">
        <is>
          <t>普陀人才局</t>
        </is>
      </c>
      <c r="R50"/>
      <c r="S50"/>
      <c r="T50"/>
    </row>
    <row r="51" ht="25.5" customHeight="1">
      <c r="A51" t="inlineStr">
        <is>
          <t>利兹贝克特大学/Leeds Metropolitan University</t>
        </is>
      </c>
      <c r="B51" t="inlineStr">
        <is>
          <t>英国</t>
        </is>
      </c>
      <c r="C51" t="inlineStr">
        <is>
          <t>上海</t>
        </is>
      </c>
      <c r="D51" t="inlineStr">
        <is>
          <t>高校</t>
        </is>
      </c>
      <c r="E51" t="inlineStr">
        <is>
          <t>教育</t>
        </is>
      </c>
      <c r="F51"/>
      <c r="G51" s="2" t="str">
        <f>=HYPERLINK("http://leedsbeckett.ac.uk/china", "leedsbeckett.ac.uk/china")</f>
        <v>leedsbeckett.ac.uk/china</v>
      </c>
      <c r="H51" t="inlineStr">
        <is>
          <t>利兹贝克特大学</t>
        </is>
      </c>
      <c r="I51"/>
      <c r="J51"/>
      <c r="K51"/>
      <c r="L51" s="2"/>
      <c r="M51" t="inlineStr">
        <is>
          <t>86 21 6519 2488</t>
        </is>
      </c>
      <c r="N51" s="3"/>
      <c r="O51"/>
      <c r="P51"/>
      <c r="Q51" t="inlineStr">
        <is>
          <t>普陀人才局</t>
        </is>
      </c>
      <c r="R51"/>
      <c r="S51"/>
      <c r="T51"/>
    </row>
    <row r="52" ht="25.5" customHeight="1">
      <c r="A52" t="inlineStr">
        <is>
          <t>利物浦约翰·摩尔大学/Liverpool John Moores University</t>
        </is>
      </c>
      <c r="B52" t="inlineStr">
        <is>
          <t>英国</t>
        </is>
      </c>
      <c r="C52" t="inlineStr">
        <is>
          <t>上海</t>
        </is>
      </c>
      <c r="D52" t="inlineStr">
        <is>
          <t>高校</t>
        </is>
      </c>
      <c r="E52" t="inlineStr">
        <is>
          <t>教育</t>
        </is>
      </c>
      <c r="F52"/>
      <c r="G52" s="2" t="str">
        <f>=HYPERLINK("http://ljmu.ac.uk/international", "ljmu.ac.uk/international")</f>
        <v>ljmu.ac.uk/international</v>
      </c>
      <c r="H52" t="inlineStr">
        <is>
          <t>利物浦约翰摩尔斯大学</t>
        </is>
      </c>
      <c r="I52"/>
      <c r="J52"/>
      <c r="K52"/>
      <c r="L52" s="2"/>
      <c r="M52" t="inlineStr">
        <is>
          <t>86 21 6519 2488</t>
        </is>
      </c>
      <c r="N52" s="3"/>
      <c r="O52"/>
      <c r="P52"/>
      <c r="Q52" t="inlineStr">
        <is>
          <t>普陀人才局</t>
        </is>
      </c>
      <c r="R52"/>
      <c r="S52"/>
      <c r="T52"/>
    </row>
    <row r="53" ht="25.5" customHeight="1">
      <c r="A53" t="inlineStr">
        <is>
          <t>曼彻斯特城市大学/Manchester Metropolitan University</t>
        </is>
      </c>
      <c r="B53" t="inlineStr">
        <is>
          <t>英国</t>
        </is>
      </c>
      <c r="C53" t="inlineStr">
        <is>
          <t>上海</t>
        </is>
      </c>
      <c r="D53" t="inlineStr">
        <is>
          <t>高校</t>
        </is>
      </c>
      <c r="E53" t="inlineStr">
        <is>
          <t>教育</t>
        </is>
      </c>
      <c r="F53"/>
      <c r="G53" s="2" t="str">
        <f>=HYPERLINK("http://mmu.ac.uk/international", "mmu.ac.uk/international")</f>
        <v>mmu.ac.uk/international</v>
      </c>
      <c r="H53" t="inlineStr">
        <is>
          <t>曼彻斯特都会大学</t>
        </is>
      </c>
      <c r="I53"/>
      <c r="J53"/>
      <c r="K53"/>
      <c r="L53" s="2"/>
      <c r="M53" t="inlineStr">
        <is>
          <t>86 21 6519 2488</t>
        </is>
      </c>
      <c r="N53" s="3"/>
      <c r="O53"/>
      <c r="P53"/>
      <c r="Q53" t="inlineStr">
        <is>
          <t>普陀人才局</t>
        </is>
      </c>
      <c r="R53"/>
      <c r="S53"/>
      <c r="T53"/>
    </row>
    <row r="54" ht="25.5" customHeight="1">
      <c r="A54" t="inlineStr">
        <is>
          <t>萨尔福德大学/University of Salford</t>
        </is>
      </c>
      <c r="B54" t="inlineStr">
        <is>
          <t>英国</t>
        </is>
      </c>
      <c r="C54" t="inlineStr">
        <is>
          <t>上海</t>
        </is>
      </c>
      <c r="D54" t="inlineStr">
        <is>
          <t>高校</t>
        </is>
      </c>
      <c r="E54" t="inlineStr">
        <is>
          <t>教育</t>
        </is>
      </c>
      <c r="F54"/>
      <c r="G54" s="2" t="str">
        <f>=HYPERLINK("http://salford.ac.uk/international", "salford.ac.uk/international")</f>
        <v>salford.ac.uk/international</v>
      </c>
      <c r="H54" t="inlineStr">
        <is>
          <t>萨尔福德大学</t>
        </is>
      </c>
      <c r="I54"/>
      <c r="J54"/>
      <c r="K54"/>
      <c r="L54" s="2"/>
      <c r="M54" t="inlineStr">
        <is>
          <t>86 21 6519 2488</t>
        </is>
      </c>
      <c r="N54" s="3"/>
      <c r="O54"/>
      <c r="P54"/>
      <c r="Q54" t="inlineStr">
        <is>
          <t>普陀人才局</t>
        </is>
      </c>
      <c r="R54"/>
      <c r="S54"/>
      <c r="T54"/>
    </row>
    <row r="55" ht="25.5" customHeight="1">
      <c r="A55" t="inlineStr">
        <is>
          <t>西班牙信息与通信技术企业协会/Ametic</t>
        </is>
      </c>
      <c r="B55" t="inlineStr">
        <is>
          <t>西班牙</t>
        </is>
      </c>
      <c r="C55" t="inlineStr">
        <is>
          <t>马德里</t>
        </is>
      </c>
      <c r="D55" t="inlineStr">
        <is>
          <t>行业协会（西班牙ICT行业协会）</t>
        </is>
      </c>
      <c r="E55" t="inlineStr">
        <is>
          <t>新一代信息技术</t>
        </is>
      </c>
      <c r="F55" t="inlineStr">
        <is>
          <t>西班牙数字产业协会</t>
        </is>
      </c>
      <c r="G55" s="2" t="str">
        <f>=HYPERLINK("https://ametic.es/", "https://ametic.es")</f>
        <v>https://ametic.es</v>
      </c>
      <c r="H55" t="inlineStr">
        <is>
          <t>AMETIC 是西班牙代表科技和数字产业最具影响力的全国性协会，成员涵盖从大型跨国科技公司到初创企业，涉及领域包括人工智能、大数据、5G、电子通信、智能城市、工业4.0等。该协会致力于推动西班牙数字经济的发展，加强政策倡导、技术创新和国际合作。</t>
        </is>
      </c>
      <c r="I55"/>
      <c r="J55"/>
      <c r="K55"/>
      <c r="L55" s="2" t="str">
        <f>=HYPERLINK("mailto:ametic@ametic.es", "ametic@ametic.es")</f>
        <v>ametic@ametic.es</v>
      </c>
      <c r="M55"/>
      <c r="N55" s="3"/>
      <c r="O55"/>
      <c r="P55"/>
      <c r="Q55" t="inlineStr">
        <is>
          <t>上海市数据局西班牙英国团组</t>
        </is>
      </c>
      <c r="R55"/>
      <c r="S55"/>
      <c r="T55"/>
    </row>
    <row r="56" ht="25.5" customHeight="1">
      <c r="A56" t="inlineStr">
        <is>
          <t>数字西班牙，西班牙数字化技术与转型协会/Digital ES</t>
        </is>
      </c>
      <c r="B56" t="inlineStr">
        <is>
          <t>西班牙</t>
        </is>
      </c>
      <c r="C56" t="inlineStr">
        <is>
          <t>马德里</t>
        </is>
      </c>
      <c r="D56" t="inlineStr">
        <is>
          <t>行业协会</t>
        </is>
      </c>
      <c r="E56" t="inlineStr">
        <is>
          <t>新一代信息技术</t>
        </is>
      </c>
      <c r="F56" t="inlineStr">
        <is>
          <t>西班牙数字经济协会</t>
        </is>
      </c>
      <c r="G56" s="2" t="str">
        <f>=HYPERLINK("https://www.digitales.es/", "https://www.digitales.es")</f>
        <v>https://www.digitales.es</v>
      </c>
      <c r="H56" t="inlineStr">
        <is>
          <t>DigitalES 是一家专注于数字经济发展的行业协会，会员主要为信息与通信技术（ICT）领域的领先企业。该协会在政策制定、人才培养、技术创新等方面发挥桥梁作用，积极推动西班牙的数字转型，促进企业与政府间的协作。</t>
        </is>
      </c>
      <c r="I56" t="inlineStr">
        <is>
          <t>CARMEN SÁNCHEZ MUÑOZ</t>
        </is>
      </c>
      <c r="J56" t="inlineStr">
        <is>
          <t>监管与公共事务总监</t>
        </is>
      </c>
      <c r="K56"/>
      <c r="L56" s="2" t="str">
        <f>=HYPERLINK("mailto:carmen.sanchez@digitales.es", "carmen.sanchez@digitales.es")</f>
        <v>carmen.sanchez@digitales.es</v>
      </c>
      <c r="M56" t="inlineStr">
        <is>
          <t>+34 91 748 83 62</t>
        </is>
      </c>
      <c r="N56" s="3"/>
      <c r="O56" t="inlineStr">
        <is>
          <t>已联系已回复</t>
        </is>
      </c>
      <c r="P56" t="inlineStr">
        <is>
          <t>表示暂时没有时间，希望在未来能够产生合作</t>
        </is>
      </c>
      <c r="Q56" t="inlineStr">
        <is>
          <t>上海市数据局西班牙英国团组</t>
        </is>
      </c>
      <c r="R56"/>
      <c r="S56" t="inlineStr">
        <is>
          <t>合作方向：
1. 国家/地区数字化战略对标交流：组织国内网信办、工信部门、大数据局等高级别因公出访团组，与协会及其会员企业（如Telefónica, Indra, Amadeus等）开展政策对话，系统性学习西班牙在数字政府、数字产业、数字技能等国家战略层面的顶层设计、推进机制与评估体系。
2. 产业数字化转型深度合作：聚焦 “智慧旅游、智慧农业、金融科技、智慧医疗” 等西班牙特色优势领域，组织中国相关行业主管部门及龙头企业代表团，进行专项技术考察、商务对接及联合解决方案开发。
3. 数字技能标准与人才培养合作：引进西班牙在数字职业认证、全民数字素养框架等方面的标准与实践，合作开展针对中国职业技术院校师资、企业数字化人才的培训与认证项目。
4. 参与中欧数字治理与标准对话：借助协会作为欧洲数字化重要行业代表的影响力，共同举办或参与中欧在数据治理、人工智能伦理、跨境数字服务规则等议题的高端研讨会，增强中方在国际数字规则制定中的参与度。
5. 创新生态与初创企业链接：对接西班牙活跃的数字科技初创企业生态，推动与中国高新区、孵化器及投资机构的交流合作，促进双向技术转移与市场拓展。
合作领域：
核心领域：数字政府与公共服务、旅游科技、农业科技、金融科技。
特色领域：数字身份与信任服务、文化遗产数字化、中小企业数字化转型、数字包容性。</t>
        </is>
      </c>
      <c r="T56"/>
    </row>
    <row r="57" ht="25.5" customHeight="1">
      <c r="A57" t="inlineStr">
        <is>
          <t>卡图公司/Carto</t>
        </is>
      </c>
      <c r="B57" t="inlineStr">
        <is>
          <t>西班牙</t>
        </is>
      </c>
      <c r="C57" t="inlineStr">
        <is>
          <t>马德里</t>
        </is>
      </c>
      <c r="D57" t="inlineStr">
        <is>
          <t>私营企业（地理空间数据分析平台）</t>
        </is>
      </c>
      <c r="E57" t="inlineStr">
        <is>
          <t>新一代信息技术</t>
        </is>
      </c>
      <c r="F57" t="inlineStr">
        <is>
          <t>地理空间数据平台公司</t>
        </is>
      </c>
      <c r="G57" s="2" t="str">
        <f>=HYPERLINK("https://carto.com/", "https://carto.com")</f>
        <v>https://carto.com</v>
      </c>
      <c r="H57" t="inlineStr">
        <is>
          <t>Carto 是一家总部位于马德里的全球领先地理空间数据科技公司，专注于空间分析、可视化和地理信息系统（GIS）解决方案。其服务广泛应用于智慧城市、物流优化、市场选址、政府决策支持等多个领域，客户包括联合国、谷歌、宜家等全球机构。</t>
        </is>
      </c>
      <c r="I57"/>
      <c r="J57"/>
      <c r="K57"/>
      <c r="L57" s="2" t="str">
        <f>=HYPERLINK("http://contact@carto.com", "contact@carto.com")</f>
        <v>contact@carto.com</v>
      </c>
      <c r="M57"/>
      <c r="N57" s="3"/>
      <c r="O57"/>
      <c r="P57"/>
      <c r="Q57" t="inlineStr">
        <is>
          <t>上海市数据局西班牙英国团组</t>
        </is>
      </c>
      <c r="R57"/>
      <c r="S57"/>
      <c r="T57"/>
    </row>
    <row r="58" ht="25.5" customHeight="1">
      <c r="A58" t="inlineStr">
        <is>
          <t>马德里卡洛斯三世大学/Universidad Carlos III de Madrid</t>
        </is>
      </c>
      <c r="B58" t="inlineStr">
        <is>
          <t>西班牙</t>
        </is>
      </c>
      <c r="C58" t="inlineStr">
        <is>
          <t>马德里</t>
        </is>
      </c>
      <c r="D58" t="inlineStr">
        <is>
          <t>公立大学</t>
        </is>
      </c>
      <c r="E58" t="inlineStr">
        <is>
          <t>新一代信息技术</t>
        </is>
      </c>
      <c r="F58" t="inlineStr">
        <is>
          <t>马德里卡洛斯三世大学</t>
        </is>
      </c>
      <c r="G58" s="2" t="str">
        <f>=HYPERLINK("https://www.uc3m.es/home/contact-us", "https://www.uc3m.es/home/contact-us")</f>
        <v>https://www.uc3m.es/home/contact-us</v>
      </c>
      <c r="H58" t="inlineStr">
        <is>
          <t>马德里卡洛斯三世大学（UC3M）是一所创新型公立大学，致力于通过其尖端研究和高质量学术推动社会进步，并遵循最严格的国际标准。它被评为西班牙最佳年轻大学，并在QS“50岁以下大学排名前50”中位列全球第22位。UC3M在泰晤士高等教育年轻大学排名中位列全球顶尖大学之列，并在2018年U-Ranking中位列西班牙综合排名第二。UC3M成立于1989年，在四个校区拥有2万名学生，其中20%为国际学生。在伊拉斯谟+项目框架下，马德里卡洛斯三世大学的学生流动性排名第一。</t>
        </is>
      </c>
      <c r="I58"/>
      <c r="J58"/>
      <c r="K58" t="inlineStr">
        <is>
          <t>https://www.linkedin.com/school/universidad-carlos-iii-de-madrid/about/</t>
        </is>
      </c>
      <c r="L58" s="2"/>
      <c r="M58" t="inlineStr">
        <is>
          <t>tel:+34916249500</t>
        </is>
      </c>
      <c r="N58" s="3"/>
      <c r="O58" t="inlineStr">
        <is>
          <t>已联系已回复</t>
        </is>
      </c>
      <c r="P58"/>
      <c r="Q58" t="inlineStr">
        <is>
          <t>上海市数据局西班牙英国团组</t>
        </is>
      </c>
      <c r="R58"/>
      <c r="S58" t="inlineStr">
        <is>
          <t>合作方向：
1. 高水平科研合作与联合培养：推动国内顶尖高校（尤其是工科、商科、社科强校）与该校建立联合研究中心或课题组，在工业工程、航天工程、金融科技、数据科学、国际关系等其王牌领域开展实质性合作研究，并配套博士生联合培养及青年学者互访计划。
2. 专业硕士与高管教育项目引进：引进其享誉欧洲的 “工业工程与管理”、“金融学”、“大数据分析” 等王牌硕士项目课程体系，或合作开发面向中国企业高管及技术骨干的定制化短期高管教育项目。
3. 学生学期交换与双学位项目：扩大本科及硕士层次的学期交换规模，并重点在工程、商科领域探索开设“3+1+1”或“4+1”等创新型本硕联读双学位项目。
4. 参与欧盟“伊拉斯谟+”等高端项目：利用其作为欧盟顶尖理工大学联盟成员的优势，协助中国合作院校深度参与“伊拉斯谟+”等欧盟旗舰学术交流与合作计划，拓展师生国际流动渠道。
5. 产业创新与技术转移对话：组织国内高新区、技术转移中心及创新型企业代表团，考察其科技成果转化模式及与马德里高科技园区的互动机制，探讨共建中欧产业创新平台。
合作领域：
核心领域：工业工程与航空航天、金融与商业分析、计算机科学与大数据、法律与国际研究。
特色领域：电信工程、机器人学、经济计量学、文化遗产数字化。</t>
        </is>
      </c>
      <c r="T58"/>
    </row>
    <row r="59" ht="25.5" customHeight="1">
      <c r="A59" t="inlineStr">
        <is>
          <t>卡洛斯三世大学–桑坦德大数据研究所/uc3m-Santander Big Data Institute</t>
        </is>
      </c>
      <c r="B59" t="inlineStr">
        <is>
          <t>西班牙</t>
        </is>
      </c>
      <c r="C59" t="inlineStr">
        <is>
          <t>马德里</t>
        </is>
      </c>
      <c r="D59" t="inlineStr">
        <is>
          <t>大学研究机构</t>
        </is>
      </c>
      <c r="E59" t="inlineStr">
        <is>
          <t>新一代信息技术</t>
        </is>
      </c>
      <c r="F59" t="inlineStr">
        <is>
          <t>卡洛斯三世大学-桑坦德大数据研究所（IBiDat）</t>
        </is>
      </c>
      <c r="G59" s="2" t="str">
        <f>=HYPERLINK("https://ibidat.es/contact/", "https://ibidat.es/contact/")</f>
        <v>https://ibidat.es/contact/</v>
      </c>
      <c r="H59" t="inlineStr">
        <is>
          <t>在卡洛斯三世-桑坦德大数据研究所，我们已成为世界一流的中心，致力于开发用于分析大型异构动态数据集的新程序和工具。我们为有志于成为未来数据科学家的毕业生提供高质量的培训。我们与世界各地的类似中心合作，推动大数据分析的发展，并提升社会决策的质量。
我们的研究领域广泛：商业、计算机科学、机器学习、数学和统计学。我们在大数据和数据科学领域的跨学科研究兼顾理论和应用。多年来，我们与桑坦德银行和众多行业伙伴建立了紧密的合作和互惠互利的关系。
我们的主要目标是：
开展大数据分析的跨学科基础研究。为此，我们汇集统计学、应用数学、计算机科学和机器学习领域的专业知识，促进不同领域的合作。
开展面向金融应用的跨学科应用研究。此类研究可能衍生出新的公司或初创公司。
通过大数据分析硕士学位以及数据分析和数据管理不同领域的多个短期课程，提供大数据分析教育。
与私人和公共合作伙伴合作，根据他们在处理、存储和分析大数据集方面的需求，提供量身定制的解决方案。</t>
        </is>
      </c>
      <c r="I59"/>
      <c r="J59"/>
      <c r="K59"/>
      <c r="L59" s="2"/>
      <c r="M59"/>
      <c r="N59" s="3"/>
      <c r="O59" t="inlineStr">
        <is>
          <t>已联系已回复</t>
        </is>
      </c>
      <c r="P59"/>
      <c r="Q59" t="inlineStr">
        <is>
          <t>上海市数据局西班牙英国团组</t>
        </is>
      </c>
      <c r="R59"/>
      <c r="S59" t="inlineStr">
        <is>
          <t>合作方向：
1. 大数据与AI前沿研究合作：组织国内顶尖高校、大数据领域重点实验室或企业的因公出访团组，与研究所开展学术对话，探讨在金融科技大数据、城市计算、社会网络分析、健康信息学等交叉领域的联合研究项目。
2. 科研人员与分析师高级培训：针对国内金融机构、互联网企业、政府部门的数据科学家与分析师，设计短期高强度培训课程，内容涵盖大规模数据挖掘、算法模型、数据治理与隐私计算等前沿实战技能。
3. 数据驱动决策咨询与案例开发：围绕“大数据在公共政策、商业智能、风险管理中的具体应用”，开展联合案例研究或为中方机构提供数据策略咨询服务，共同开发高质量教学与研究案例。
4. 数据科学竞赛与人才选拔：合作举办面向中欧高校学生或青年专业人士的数据科学竞赛，发掘并培养国际化数据科学人才，并拓展产学研人才输送渠道。
5. 参与欧洲数据科学与AI研究网络：借助其作为西班牙领先大数据研究中心的地位，协助中方研究团队对接欧洲数据研究与创新生态系统，共同申请欧盟或跨国合作项目。
合作领域：
核心领域：金融数据分析、城市大数据与智慧交通、社交媒体与网络科学、健康与生物信息学。
特色领域：数据可视化与人机交互、大数据伦理与治理、高性能计算与数据工程。</t>
        </is>
      </c>
      <c r="T59"/>
    </row>
    <row r="60" ht="25.5" customHeight="1">
      <c r="A60" t="inlineStr">
        <is>
          <t>胡安·卡洛斯国王大学/Universidad Rey Juan Carlos</t>
        </is>
      </c>
      <c r="B60" t="inlineStr">
        <is>
          <t>西班牙</t>
        </is>
      </c>
      <c r="C60" t="inlineStr">
        <is>
          <t>马德里</t>
        </is>
      </c>
      <c r="D60" t="inlineStr">
        <is>
          <t>公立大学</t>
        </is>
      </c>
      <c r="E60" t="inlineStr">
        <is>
          <t>新一代信息技术</t>
        </is>
      </c>
      <c r="F60" t="inlineStr">
        <is>
          <t>胡安卡洛斯国王大学</t>
        </is>
      </c>
      <c r="G60" s="2" t="str">
        <f>=HYPERLINK("http://www.urjc.es/", "http://www.urjc.es/")</f>
        <v>http://www.urjc.es/</v>
      </c>
      <c r="H60" t="inlineStr">
        <is>
          <t>胡安卡洛斯国王大学成立于1996年，是马德里地区最现代化的公立大学。目前，该校拥有43,000名正式学生，是该地区学生人数第二多的公立大学。</t>
        </is>
      </c>
      <c r="I60"/>
      <c r="J60"/>
      <c r="K60" t="inlineStr">
        <is>
          <t xml:space="preserve"> </t>
        </is>
      </c>
      <c r="L60" s="2"/>
      <c r="M60" t="inlineStr">
        <is>
          <t>34)916655060</t>
        </is>
      </c>
      <c r="N60" s="3"/>
      <c r="O60" t="inlineStr">
        <is>
          <t>已联系已回复</t>
        </is>
      </c>
      <c r="P60"/>
      <c r="Q60" t="inlineStr">
        <is>
          <t>上海市数据局西班牙英国团组</t>
        </is>
      </c>
      <c r="R60"/>
      <c r="S60" t="inlineStr">
        <is>
          <t>合作方向：
1. 应用型学科交流与师生互访：组织国内应用技术大学、职业院校及地方高校的因公出访团组，与该校在旅游管理、健康科学、传媒、法学等优势应用学科开展对话，探讨课程对接、师资交流及学生短期交换项目。
2. 产学研合作与地方发展研究：结合该校在马德里南部地区的区位优势及与地方产业的联系，围绕“区域经济转型、中小企业创新、文化旅游发展”等主题开展联合研究或培训项目。
3. 西班牙语及拉美研究合作：利用其在西班牙语教学及伊比利亚-美洲研究方面的资源，合作开展面向中国学生的西班牙语强化课程、师资培训或区域研究专题讲座。
4. 公共管理与社会政策研讨：针对中国地方政府在社会保障、公共卫生、公共服务等领域的实践需求，组织专题研讨会或短期研修，交流政策经验。
5. 参与南欧学术网络与项目：借助其与南欧高校及机构的联系，协助中方院校接入相关学术网络，参与伊比利亚半岛的区域性合作项目。
合作领域：
核心领域：旅游与酒店管理、健康科学与护理、传媒与社会沟通、法律与公共管理。
特色领域：体育管理、环境研究、西班牙语语言文化、拉丁美洲研究。</t>
        </is>
      </c>
      <c r="T60"/>
    </row>
    <row r="61" ht="25.5" customHeight="1">
      <c r="A61" t="inlineStr">
        <is>
          <t>马德里市政府数字办公室/Madrid City Council Digital Office</t>
        </is>
      </c>
      <c r="B61" t="inlineStr">
        <is>
          <t>西班牙</t>
        </is>
      </c>
      <c r="C61" t="inlineStr">
        <is>
          <t>马德里</t>
        </is>
      </c>
      <c r="D61" t="inlineStr">
        <is>
          <t>政府机构（市政府数字办公室）</t>
        </is>
      </c>
      <c r="E61" t="inlineStr">
        <is>
          <t>新一代信息技术</t>
        </is>
      </c>
      <c r="F61" t="inlineStr">
        <is>
          <t>市府数字创新平台）</t>
        </is>
      </c>
      <c r="G61" s="2" t="str">
        <f>=HYPERLINK("https://www.madrid.es/oficinadigital", "https://www.madrid.es/oficinadigital")</f>
        <v>https://www.madrid.es/oficinadigital</v>
      </c>
      <c r="H61" t="inlineStr">
        <is>
          <t>政府项目平台，数字政务、GovTech 创新；数字办公室向市长办公室总协调部门汇报，负责推动市议会和城市的数字化转型，推动技术应用，以提高市政服务效率、生活质量和人民福祉。</t>
        </is>
      </c>
      <c r="I61"/>
      <c r="J61"/>
      <c r="K61" t="inlineStr">
        <is>
          <t>https://www.linkedin.com/company/oficinadigitalmadrid/posts/?feedView=all</t>
        </is>
      </c>
      <c r="L61" s="2" t="str">
        <f>=HYPERLINK("mailto:oficialdigital@madrid.es", "oficialdigital@madrid.es")</f>
        <v>oficialdigital@madrid.es</v>
      </c>
      <c r="M61"/>
      <c r="N61" s="3"/>
      <c r="O61" t="inlineStr">
        <is>
          <t>已联系已回复</t>
        </is>
      </c>
      <c r="P61"/>
      <c r="Q61" t="inlineStr">
        <is>
          <t>上海市数据局西班牙英国团组</t>
        </is>
      </c>
      <c r="R61"/>
      <c r="S61" t="inlineStr">
        <is>
          <t>合作方向：
1. 智慧城市治理经验交流：组织国内地方政府大数据局、经信委、智慧城市办公室的因公出访团组，与马德里数字办公室开展专题交流，学习其在城市数据平台建设、公共服务数字化、数字包容性政策等方面的先进经验与治理模式。
2. 数字技术应用场景考察：实地考察马德里在城市交通管理、能源效率、公共安全、电子政务等领域的具体数字解决方案（如“马德里数字孪生”项目），探讨技术架构与合作移植可能。
3. 数字技能与公共部门培训：针对国内政府数字化改革的需求，引入其在公共部门数字能力建设、市民数字素养提升方面的培训课程或方法体系。
4. 创新采购与初创企业生态合作：学习其通过公共采购（创新采购）推动城市级数字创新、扶持本地科技初创企业的机制，探索建立城市间创新生态链接。
5. 数据开放与共享治理对话：围绕城市数据资产的管理、开放、共享、安全与隐私保护等议题，开展政策与实践层面的深度对话。
合作领域：
核心领域：城市数据中台与数字孪生、电子政务与公共服务数字化、智慧交通与可持续出行。
特色领域：市民参与的数字平台、数字包容与社会公平、通过公共采购驱动创新。</t>
        </is>
      </c>
      <c r="T61"/>
    </row>
    <row r="62" ht="25.5" customHeight="1">
      <c r="A62" t="inlineStr">
        <is>
          <t>诺蒙公司/Nommon</t>
        </is>
      </c>
      <c r="B62" t="inlineStr">
        <is>
          <t>西班牙</t>
        </is>
      </c>
      <c r="C62" t="inlineStr">
        <is>
          <t>巴塞罗那</t>
        </is>
      </c>
      <c r="D62" t="inlineStr">
        <is>
          <t>私营企业</t>
        </is>
      </c>
      <c r="E62" t="inlineStr">
        <is>
          <t>新一代信息技术</t>
        </is>
      </c>
      <c r="F62" t="inlineStr">
        <is>
          <t>Nommon</t>
        </is>
      </c>
      <c r="G62" s="2" t="str">
        <f>=HYPERLINK("https://www.nommon.es/contact/", "https://www.nommon.es/contact/")</f>
        <v>https://www.nommon.es/contact/</v>
      </c>
      <c r="H62" t="inlineStr">
        <is>
          <t>Nommon 是一家研究密集型技术公司，为运输和移动市场以及地理空间信息发挥关键作用的其他领域（如智慧城市和城市规划、零售和地理营销以及旅游业）提供决策支持解决方案。</t>
        </is>
      </c>
      <c r="I62"/>
      <c r="J62"/>
      <c r="K62" t="inlineStr">
        <is>
          <t>https://www.linkedin.com/company/nommon/</t>
        </is>
      </c>
      <c r="L62" s="2" t="str">
        <f>=HYPERLINK("mailto:nommon@nommon.es", "nommon@nommon.es")</f>
        <v>nommon@nommon.es</v>
      </c>
      <c r="M62" t="inlineStr">
        <is>
          <t>34 91 072 62 61</t>
        </is>
      </c>
      <c r="N62" s="3"/>
      <c r="O62"/>
      <c r="P62"/>
      <c r="Q62" t="inlineStr">
        <is>
          <t>上海市数据局西班牙英国团组</t>
        </is>
      </c>
      <c r="R62"/>
      <c r="S62"/>
      <c r="T62"/>
    </row>
    <row r="63" ht="25.5" customHeight="1">
      <c r="A63" t="inlineStr">
        <is>
          <t>数字工厂/Digital Factory</t>
        </is>
      </c>
      <c r="B63" t="inlineStr">
        <is>
          <t>西班牙</t>
        </is>
      </c>
      <c r="C63" t="inlineStr">
        <is>
          <t>巴塞罗那</t>
        </is>
      </c>
      <c r="D63" t="inlineStr">
        <is>
          <t>私营企业</t>
        </is>
      </c>
      <c r="E63" t="inlineStr">
        <is>
          <t>新一代信息技术</t>
        </is>
      </c>
      <c r="F63" t="inlineStr">
        <is>
          <t>数字工厂马德里</t>
        </is>
      </c>
      <c r="G63" s="2" t="str">
        <f>=HYPERLINK("https://www.comunidad.madrid/en/inversion/sectores-destacados/factoria-digital", "https://www.comunidad.madrid/en/inversion/sectores-destacados/factoria-digital")</f>
        <v>https://www.comunidad.madrid/en/inversion/sectores-destacados/factoria-digital</v>
      </c>
      <c r="H63"/>
      <c r="I63"/>
      <c r="J63"/>
      <c r="K63"/>
      <c r="L63" s="2"/>
      <c r="M63"/>
      <c r="N63" s="3"/>
      <c r="O63"/>
      <c r="P63"/>
      <c r="Q63" t="inlineStr">
        <is>
          <t>上海市数据局西班牙英国团组</t>
        </is>
      </c>
      <c r="R63"/>
      <c r="S63"/>
      <c r="T63"/>
    </row>
    <row r="64" ht="25.5" customHeight="1">
      <c r="A64" t="inlineStr">
        <is>
          <t>加泰罗尼亚贸易与投资局/Catalonia Trade &amp; Investment</t>
        </is>
      </c>
      <c r="B64" t="inlineStr">
        <is>
          <t>西班牙</t>
        </is>
      </c>
      <c r="C64" t="inlineStr">
        <is>
          <t>巴塞罗那</t>
        </is>
      </c>
      <c r="D64" t="inlineStr">
        <is>
          <t>政府机构（加泰罗尼亚政府下属投资与贸易促进机构）</t>
        </is>
      </c>
      <c r="E64" t="inlineStr">
        <is>
          <t>新一代信息技术</t>
        </is>
      </c>
      <c r="F64" t="inlineStr">
        <is>
          <t>加泰罗尼亚贸易投资署</t>
        </is>
      </c>
      <c r="G64" s="2" t="str">
        <f>=HYPERLINK("https://catalonia.com/key-industries-technologies/technologies/artificial-intelligence-in-catalonia", "https://catalonia.com/key-industries-technologies/technologies/artificial-intelligence-in-catalonia")</f>
        <v>https://catalonia.com/key-industries-technologies/technologies/artificial-intelligence-in-catalonia</v>
      </c>
      <c r="H64" t="inlineStr">
        <is>
          <t>加泰罗尼亚贸易投资署是加泰罗尼亚政府负责外国投资和商业竞争力的机构。该机构致力于促进加泰罗尼亚企业和初创企业的创新、国际化、贸易和融资。该机构还组织贸易代表团前往战略性地选择的国家开展商业和技术合作。此外，该机构还为国际投资者和企业提供专业的一站式服务，吸引外国直接投资到巴塞罗那和加泰罗尼亚。加泰罗尼亚贸易投资署总部位于巴塞罗那，在全球设有40个办事处，覆盖100多个市场。</t>
        </is>
      </c>
      <c r="I64"/>
      <c r="J64"/>
      <c r="K64" t="inlineStr">
        <is>
          <t>https://www.linkedin.com/company/invest-in-catalonia/</t>
        </is>
      </c>
      <c r="L64" s="2"/>
      <c r="M64" t="inlineStr">
        <is>
          <t>34 934767287</t>
        </is>
      </c>
      <c r="N64" s="3"/>
      <c r="O64"/>
      <c r="P64"/>
      <c r="Q64" t="inlineStr">
        <is>
          <t>上海市数据局西班牙英国团组</t>
        </is>
      </c>
      <c r="R64"/>
      <c r="S64"/>
      <c r="T64"/>
    </row>
    <row r="65" ht="25.5" customHeight="1">
      <c r="A65" t="inlineStr">
        <is>
          <t>IDEAI-UPC 智能数据科学与人工智能研究所（巴塞罗那大学）/IDEAI-UPC. Intelligent Data Science and Artificial Intelligence</t>
        </is>
      </c>
      <c r="B65" t="inlineStr">
        <is>
          <t>西班牙</t>
        </is>
      </c>
      <c r="C65" t="inlineStr">
        <is>
          <t>巴塞罗那</t>
        </is>
      </c>
      <c r="D65" t="inlineStr">
        <is>
          <t>公立研究中心（附属于加泰罗尼亚理工大学 UPC）</t>
        </is>
      </c>
      <c r="E65" t="inlineStr">
        <is>
          <t>新一代信息技术</t>
        </is>
      </c>
      <c r="F65" t="inlineStr">
        <is>
          <t>IDEAI-UPC 研究中心</t>
        </is>
      </c>
      <c r="G65" s="2" t="str">
        <f>=HYPERLINK("https://ideai.upc.edu/", "https://ideai.upc.edu")</f>
        <v>https://ideai.upc.edu</v>
      </c>
      <c r="H65" t="inlineStr">
        <is>
          <t>IDEAI-UPC 研究中心是加泰罗尼亚理工大学 - 巴塞罗那理工大学 (UPC) 的人工智能和智能数据科学领域资深和优秀背景新手研究团队的共同场所。</t>
        </is>
      </c>
      <c r="I65"/>
      <c r="J65"/>
      <c r="K65" t="inlineStr">
        <is>
          <t>https://www.linkedin.com/company/ideai-upc/about/</t>
        </is>
      </c>
      <c r="L65" s="2" t="str">
        <f>=HYPERLINK("mailto:ideai-upc@upc.edu", "ideai-upc@upc.edu")</f>
        <v>ideai-upc@upc.edu</v>
      </c>
      <c r="M65"/>
      <c r="N65" s="3"/>
      <c r="O65"/>
      <c r="P65"/>
      <c r="Q65" t="inlineStr">
        <is>
          <t>上海市数据局西班牙英国团组</t>
        </is>
      </c>
      <c r="R65"/>
      <c r="S65"/>
      <c r="T65"/>
    </row>
    <row r="66" ht="25.5" customHeight="1">
      <c r="A66" t="inlineStr">
        <is>
          <t xml:space="preserve">Eurecat 技术中心/Eurecat - Technology Centre </t>
        </is>
      </c>
      <c r="B66" t="inlineStr">
        <is>
          <t>西班牙</t>
        </is>
      </c>
      <c r="C66" t="inlineStr">
        <is>
          <t>巴塞罗那</t>
        </is>
      </c>
      <c r="D66" t="inlineStr">
        <is>
          <t>	公私合营科技中心</t>
        </is>
      </c>
      <c r="E66" t="inlineStr">
        <is>
          <t>新一代信息技术</t>
        </is>
      </c>
      <c r="F66" t="inlineStr">
        <is>
          <t>Eurecat 技术中心</t>
        </is>
      </c>
      <c r="G66" s="2" t="str">
        <f>=HYPERLINK("http://www.eurecat.org/", "http://www.eurecat.org")</f>
        <v>http://www.eurecat.org</v>
      </c>
      <c r="H66" t="inlineStr">
        <is>
          <t>Eurecat 是加泰罗尼亚的主要技术中心，也是南欧第二大私人研究机构。</t>
        </is>
      </c>
      <c r="I66"/>
      <c r="J66"/>
      <c r="K66" t="inlineStr">
        <is>
          <t>https://www.linkedin.com/company/eurecat/</t>
        </is>
      </c>
      <c r="L66" s="2" t="str">
        <f>=HYPERLINK("mailto:info@eurecat.org", "info@eurecat.org")</f>
        <v>info@eurecat.org</v>
      </c>
      <c r="M66" t="inlineStr">
        <is>
          <t>34) 93 594 47 00；34 932 381 400</t>
        </is>
      </c>
      <c r="N66" s="3"/>
      <c r="O66"/>
      <c r="P66"/>
      <c r="Q66" t="inlineStr">
        <is>
          <t>上海市数据局西班牙英国团组</t>
        </is>
      </c>
      <c r="R66"/>
      <c r="S66"/>
      <c r="T66"/>
    </row>
    <row r="67" ht="25.5" customHeight="1">
      <c r="A67" t="inlineStr">
        <is>
          <t>22@巴塞罗那（巴塞罗那创新区）/22@Barcelona</t>
        </is>
      </c>
      <c r="B67" t="inlineStr">
        <is>
          <t>西班牙</t>
        </is>
      </c>
      <c r="C67" t="inlineStr">
        <is>
          <t>巴塞罗那</t>
        </is>
      </c>
      <c r="D67" t="inlineStr">
        <is>
          <t>城市发展区（巴塞罗那创新与科技区）</t>
        </is>
      </c>
      <c r="E67" t="inlineStr">
        <is>
          <t>新一代信息技术</t>
        </is>
      </c>
      <c r="F67" t="inlineStr">
        <is>
          <t>巴塞罗那城市创新区</t>
        </is>
      </c>
      <c r="G67" s="2" t="str">
        <f>=HYPERLINK("https://www.22barcelona.com/", "https://www.22barcelona.com")</f>
        <v>https://www.22barcelona.com</v>
      </c>
      <c r="H67" t="inlineStr">
        <is>
          <t>22@Barcelona 是由巴塞罗那市政府发起的城市更新和创新发展项目，目标是将老工业区转型为知识经济与科技创新高地。该区域汇聚了大量科技企业、孵化器、大学研究中心和国际创新组织，是西班牙最具代表性的“创新生态圈”之一。</t>
        </is>
      </c>
      <c r="I67"/>
      <c r="J67"/>
      <c r="K67"/>
      <c r="L67" s="2" t="str">
        <f>=HYPERLINK("http://info@22barcelona.com", "info@22barcelona.com")</f>
        <v>info@22barcelona.com</v>
      </c>
      <c r="M67"/>
      <c r="N67" s="3"/>
      <c r="O67"/>
      <c r="P67"/>
      <c r="Q67" t="inlineStr">
        <is>
          <t>上海市数据局西班牙英国团组</t>
        </is>
      </c>
      <c r="R67"/>
      <c r="S67"/>
      <c r="T67"/>
    </row>
    <row r="68" ht="25.5" customHeight="1">
      <c r="A68" t="inlineStr">
        <is>
          <t>全球商会®巴塞罗那/ Chamber® Barcelona</t>
        </is>
      </c>
      <c r="B68" t="inlineStr">
        <is>
          <t>西班牙</t>
        </is>
      </c>
      <c r="C68" t="inlineStr">
        <is>
          <t>巴塞罗那</t>
        </is>
      </c>
      <c r="D68" t="inlineStr">
        <is>
          <t>商会</t>
        </is>
      </c>
      <c r="E68" t="inlineStr">
        <is>
          <t>新一代信息技术</t>
        </is>
      </c>
      <c r="F68" t="inlineStr">
        <is>
          <t>全球商会·巴塞罗那</t>
        </is>
      </c>
      <c r="G68" s="2" t="str">
        <f>=HYPERLINK("https://www.globalchamber.org/forms/contact-us/", "https://www.globalchamber.org/forms/contact-us/")</f>
        <v>https://www.globalchamber.org/forms/contact-us/</v>
      </c>
      <c r="H68" t="inlineStr">
        <is>
          <t>Global Chamber 是一个全球性商会网络，致力于连接各地企业与国际市场，促进全球商业交流与跨境合作。其巴塞罗那分会聚焦于帮助本地企业拓展海外市场，同时也是外国机构在地交流与资源对接的重要平台，适合作为国际政企访问对接窗口。</t>
        </is>
      </c>
      <c r="I68"/>
      <c r="J68"/>
      <c r="K68" t="inlineStr">
        <is>
          <t>https://www.linkedin.com/company/global-chamber®-barcelona/about/</t>
        </is>
      </c>
      <c r="L68" s="2"/>
      <c r="M68"/>
      <c r="N68" s="3">
        <v>46026</v>
      </c>
      <c r="O68" t="inlineStr">
        <is>
          <t>可长期合作</t>
        </is>
      </c>
      <c r="P68" t="inlineStr">
        <is>
          <t>1月13日开线上会议-需要等待巴塞罗那商会的一项详情-可双向长期合作</t>
        </is>
      </c>
      <c r="Q68" t="inlineStr">
        <is>
          <t>上海市数据局西班牙英国团组,昆山开发区-西班牙巴塞罗那商协会</t>
        </is>
      </c>
      <c r="R68"/>
      <c r="S68" t="inlineStr">
        <is>
          <t>合作方向：
1. 商务考察与对接：组织中国地方政府、开发区或企业代表团赴巴塞罗那，与商会会员企业进行精准行业对接和商务洽谈。
2. 市场信息与咨询服务：获取加泰罗尼亚及南欧地区的市场分析、行业报告、投资政策及营商环境解读。
3. 会议展览参与：协助中国企业参与商会主办、承办或推荐的国际性展会、高峰论坛及行业研讨会。
4. 企业国际化培训：引入商会或合作机构为中方企业定制的国际贸易、跨境合规、品牌出海等实战培训课程。
5. 双向投资促进：协助西班牙/加泰罗尼亚企业赴华考察，并提供在中国市场寻找合作伙伴、落地投资的初步对接服务。
合作领域：
核心领域：商贸对接、投资促进、会展合作。
特色领域：中小企业国际化服务、行业网络构建。
模式特点：合作以具体商业机会和企业需求为直接驱动，侧重于提供本地化商业网络、信息及实务性服务，具有高度的灵活性与市场导向性。</t>
        </is>
      </c>
      <c r="T68"/>
    </row>
    <row r="69" ht="25.5" customHeight="1">
      <c r="A69" t="inlineStr">
        <is>
          <t>彭佩乌·法布拉大学/Universitat Pompeu Fabra</t>
        </is>
      </c>
      <c r="B69" t="inlineStr">
        <is>
          <t>西班牙</t>
        </is>
      </c>
      <c r="C69" t="inlineStr">
        <is>
          <t>巴塞罗那</t>
        </is>
      </c>
      <c r="D69" t="inlineStr">
        <is>
          <t>公立大学</t>
        </is>
      </c>
      <c r="E69" t="inlineStr">
        <is>
          <t>新一代信息技术</t>
        </is>
      </c>
      <c r="F69" t="inlineStr">
        <is>
          <t>西班牙巴塞罗那庞培法布拉大学</t>
        </is>
      </c>
      <c r="G69" s="2" t="str">
        <f>=HYPERLINK("https://www.upf.edu/web/ai-ml/about-us", "https://www.upf.edu/web/ai-ml/about-us")</f>
        <v>https://www.upf.edu/web/ai-ml/about-us</v>
      </c>
      <c r="H69" t="inlineStr">
        <is>
          <t>人工智能和机器学习小组是西班牙巴塞罗那庞培法布拉大学（UPF）信息和通信技术系的研究小组之一。</t>
        </is>
      </c>
      <c r="I69"/>
      <c r="J69"/>
      <c r="K69" t="inlineStr">
        <is>
          <t>https://www.linkedin.com/school/universitat-pompeu-fabra/</t>
        </is>
      </c>
      <c r="L69" s="2" t="str">
        <f>=HYPERLINK("mailto:anders.jonsson@upf.edu", "anders.jonsson@upf.edu")</f>
        <v>anders.jonsson@upf.edu</v>
      </c>
      <c r="M69"/>
      <c r="N69" s="3"/>
      <c r="O69" t="inlineStr">
        <is>
          <t>推进中</t>
        </is>
      </c>
      <c r="P69"/>
      <c r="Q69" t="inlineStr">
        <is>
          <t>上海市数据局西班牙英国团组</t>
        </is>
      </c>
      <c r="R69"/>
      <c r="S69"/>
      <c r="T69"/>
    </row>
    <row r="70" ht="25.5" customHeight="1">
      <c r="A70" t="inlineStr">
        <is>
          <t>巴塞罗那数字城市/Barcelona Digital City</t>
        </is>
      </c>
      <c r="B70" t="inlineStr">
        <is>
          <t>西班牙</t>
        </is>
      </c>
      <c r="C70" t="inlineStr">
        <is>
          <t>巴塞罗那</t>
        </is>
      </c>
      <c r="D70" t="inlineStr">
        <is>
          <t>市政府项目</t>
        </is>
      </c>
      <c r="E70" t="inlineStr">
        <is>
          <t>新一代信息技术</t>
        </is>
      </c>
      <c r="F70" t="inlineStr">
        <is>
          <t>Barcelona Digital City</t>
        </is>
      </c>
      <c r="G70" s="2" t="str">
        <f>=HYPERLINK("https://ajuntament.barcelona.cat/digital/en/news/news/city-data-more-accessible-than-ever-1369279?utm_source=chatgpt.com", "https://ajuntament.barcelona.cat/digital/en/news/news/city-data-more-accessible-than-ever-1369279?utm_source=chatgpt.com")</f>
        <v>https://ajuntament.barcelona.cat/digital/en/news/news/city-data-more-accessible-than-ever-1369279?utm_source=chatgpt.com</v>
      </c>
      <c r="H70"/>
      <c r="I70"/>
      <c r="J70"/>
      <c r="K70" t="inlineStr">
        <is>
          <t>https://www.linkedin.com/company/ajuntament-de-barcelona/</t>
        </is>
      </c>
      <c r="L70" s="2"/>
      <c r="M70"/>
      <c r="N70" s="3"/>
      <c r="O70" t="inlineStr">
        <is>
          <t>推进中</t>
        </is>
      </c>
      <c r="P70"/>
      <c r="Q70" t="inlineStr">
        <is>
          <t>上海市数据局西班牙英国团组</t>
        </is>
      </c>
      <c r="R70"/>
      <c r="S70"/>
      <c r="T70"/>
    </row>
    <row r="71" ht="25.5" customHeight="1">
      <c r="A71" t="inlineStr">
        <is>
          <t>加泰罗尼亚高级建筑研究院/Institute for Advanced Architecture of Catalonia</t>
        </is>
      </c>
      <c r="B71" t="inlineStr">
        <is>
          <t>西班牙</t>
        </is>
      </c>
      <c r="C71" t="inlineStr">
        <is>
          <t>巴塞罗那</t>
        </is>
      </c>
      <c r="D71" t="inlineStr">
        <is>
          <t>公立大学</t>
        </is>
      </c>
      <c r="E71" t="inlineStr">
        <is>
          <t>新一代信息技术</t>
        </is>
      </c>
      <c r="F71" t="inlineStr">
        <is>
          <t>加泰建筑学院</t>
        </is>
      </c>
      <c r="G71" s="2"/>
      <c r="H71"/>
      <c r="I71"/>
      <c r="J71"/>
      <c r="K71"/>
      <c r="L71" s="2"/>
      <c r="M71"/>
      <c r="N71" s="3"/>
      <c r="O71" t="inlineStr">
        <is>
          <t>推进中</t>
        </is>
      </c>
      <c r="P71"/>
      <c r="Q71" t="inlineStr">
        <is>
          <t>上海市数据局西班牙英国团组</t>
        </is>
      </c>
      <c r="R71"/>
      <c r="S71"/>
      <c r="T71"/>
    </row>
    <row r="72" ht="25.5" customHeight="1">
      <c r="A72" t="inlineStr">
        <is>
          <t>Mitiga解决方案公司/Mitiga Solutions</t>
        </is>
      </c>
      <c r="B72" t="inlineStr">
        <is>
          <t>西班牙</t>
        </is>
      </c>
      <c r="C72" t="inlineStr">
        <is>
          <t>巴塞罗那</t>
        </is>
      </c>
      <c r="D72" t="inlineStr">
        <is>
          <t>私营企业</t>
        </is>
      </c>
      <c r="E72" t="inlineStr">
        <is>
          <t>新一代信息技术</t>
        </is>
      </c>
      <c r="F72" t="inlineStr">
        <is>
          <t>Mitiga Solutions</t>
        </is>
      </c>
      <c r="G72" s="2" t="str">
        <f>=HYPERLINK("https://www.mitigasolutions.com/", "https://www.mitigasolutions.com")</f>
        <v>https://www.mitigasolutions.com</v>
      </c>
      <c r="H72" t="inlineStr">
        <is>
          <t>Mitiga Solutions 成立于 2018 年，提供融合科学、人工智能和高性能计算的气候风险情报。我们通过自助服务平台 EarthScan™ 和风险模型，帮助客户分析、报告其业务面临的气候风险，并采取相应措施。</t>
        </is>
      </c>
      <c r="I72"/>
      <c r="J72"/>
      <c r="K72" t="inlineStr">
        <is>
          <t>https://www.linkedin.com/company/mitigasolutions/people/</t>
        </is>
      </c>
      <c r="L72" s="2" t="str">
        <f>=HYPERLINK("http://comms@mitigasolutions.com", "comms@mitigasolutions.com")</f>
        <v>comms@mitigasolutions.com</v>
      </c>
      <c r="M72"/>
      <c r="N72" s="3"/>
      <c r="O72" t="inlineStr">
        <is>
          <t>推进中</t>
        </is>
      </c>
      <c r="P72"/>
      <c r="Q72" t="inlineStr">
        <is>
          <t>上海市数据局西班牙英国团组</t>
        </is>
      </c>
      <c r="R72"/>
      <c r="S72"/>
      <c r="T72"/>
    </row>
    <row r="73" ht="25.5" customHeight="1">
      <c r="A73" t="inlineStr">
        <is>
          <t>UAB计算机视觉中心/Computer Vision Center UAB</t>
        </is>
      </c>
      <c r="B73" t="inlineStr">
        <is>
          <t>西班牙</t>
        </is>
      </c>
      <c r="C73" t="inlineStr">
        <is>
          <t>巴塞罗那</t>
        </is>
      </c>
      <c r="D73" t="inlineStr">
        <is>
          <t>	公立研究中心（附属于巴塞罗那自治大学）</t>
        </is>
      </c>
      <c r="E73" t="inlineStr">
        <is>
          <t>新一代信息技术</t>
        </is>
      </c>
      <c r="F73" t="inlineStr">
        <is>
          <t>CVC</t>
        </is>
      </c>
      <c r="G73" s="2" t="str">
        <f>=HYPERLINK("http://www.cvc.uab.es/", "http://www.cvc.uab.es")</f>
        <v>http://www.cvc.uab.es</v>
      </c>
      <c r="H73" t="inlineStr">
        <is>
          <t>CVC 是一家非营利机构，由加泰罗尼亚科技创新与发展部际委员会 (CIRIT)、企业创新与发展中心 (CIDEM) 和巴塞罗那自治大学 (UAB) 于 1995 年创立。CVC 的战略目标是在计算机视觉领域开展高质量的研发。从科学角度来看，CVC 希望为丰富该领域的知识做出贡献。从技术角度来看，CVC 旨在通过与企业合作开发技术项目，促进创新和产业竞争力。CVC 模式旨在促进研发之间的自然合作，以实现技术转让。CVC 由加泰罗尼亚政府和巴塞罗那自治大学资助。CERCA 中心</t>
        </is>
      </c>
      <c r="I73"/>
      <c r="J73"/>
      <c r="K73" t="inlineStr">
        <is>
          <t>https://www.linkedin.com/company/computer-vision-center/about/</t>
        </is>
      </c>
      <c r="L73" s="2" t="str">
        <f>=HYPERLINK("mailto:cvc@cvc.uab.cat", "cvc@cvc.uab.cat")</f>
        <v>cvc@cvc.uab.cat</v>
      </c>
      <c r="M73" t="inlineStr">
        <is>
          <t>34 93 581 18 28</t>
        </is>
      </c>
      <c r="N73" s="3"/>
      <c r="O73" t="inlineStr">
        <is>
          <t>推进中</t>
        </is>
      </c>
      <c r="P73"/>
      <c r="Q73" t="inlineStr">
        <is>
          <t>上海市数据局西班牙英国团组</t>
        </is>
      </c>
      <c r="R73"/>
      <c r="S73"/>
      <c r="T73"/>
    </row>
    <row r="74" ht="25.5" customHeight="1">
      <c r="A74" t="inlineStr">
        <is>
          <t>伦敦技术与创新办公室 (LOTI)/London Office of Technology &amp; Innovation (LOTI)</t>
        </is>
      </c>
      <c r="B74" t="inlineStr">
        <is>
          <t>英国</t>
        </is>
      </c>
      <c r="C74" t="inlineStr">
        <is>
          <t>伦敦</t>
        </is>
      </c>
      <c r="D74" t="inlineStr">
        <is>
          <t>公共部门</t>
        </is>
      </c>
      <c r="E74" t="inlineStr">
        <is>
          <t>新一代信息技术</t>
        </is>
      </c>
      <c r="F74" t="inlineStr">
        <is>
          <t>伦敦科技与创新办公室 (LOTI)</t>
        </is>
      </c>
      <c r="G74" s="2" t="str">
        <f>=HYPERLINK("https://www.linkedin.com/company/loti-ldn/?utm_source=chatgpt%2Ecom&amp;originalSubdomain=uk", "https://www.linkedin.com/company/loti-ldn/?utm_source=chatgpt%2Ecom&amp;originalSubdomain=uk")</f>
        <v>https://www.linkedin.com/company/loti-ldn/?utm_source=chatgpt%2Ecom&amp;originalSubdomain=uk</v>
      </c>
      <c r="H74" t="inlineStr">
        <is>
          <t>#LOTI 帮助各行政区合作开展项目，充分利用数字和数据创新的优势，改善伦敦市民的公共服务和成果。</t>
        </is>
      </c>
      <c r="I74"/>
      <c r="J74"/>
      <c r="K74" t="inlineStr">
        <is>
          <t>https://loti.london/get-in-touch/;https://www.linkedin.com/in/eddiecopeland/</t>
        </is>
      </c>
      <c r="L74" s="2" t="str">
        <f>=HYPERLINK("http://eddie.copeland [@] loti.london", "eddie.copeland [@] loti.london")</f>
        <v>eddie.copeland [@] loti.london</v>
      </c>
      <c r="M74"/>
      <c r="N74" s="3"/>
      <c r="O74" t="inlineStr">
        <is>
          <t>推进中</t>
        </is>
      </c>
      <c r="P74"/>
      <c r="Q74" t="inlineStr">
        <is>
          <t>上海市数据局西班牙英国团组</t>
        </is>
      </c>
      <c r="R74"/>
      <c r="S74"/>
      <c r="T74"/>
    </row>
    <row r="75" ht="25.5" customHeight="1">
      <c r="A75" t="inlineStr">
        <is>
          <t>数字催化剂/Digital Catapult</t>
        </is>
      </c>
      <c r="B75" t="inlineStr">
        <is>
          <t>英国</t>
        </is>
      </c>
      <c r="C75" t="inlineStr">
        <is>
          <t>伦敦</t>
        </is>
      </c>
      <c r="D75" t="inlineStr">
        <is>
          <t>公私合作创新中心</t>
        </is>
      </c>
      <c r="E75" t="inlineStr">
        <is>
          <t>新一代信息技术</t>
        </is>
      </c>
      <c r="F75" t="inlineStr">
        <is>
          <t>Digital Catapult</t>
        </is>
      </c>
      <c r="G75" s="2" t="str">
        <f>=HYPERLINK("https://www.linkedin.com/company/digital-catapult/life/7c6ca07c-13b4-48bb-bb4c-a1f256991b4f/?utm_source=chatgpt%2Ecom&amp;originalSubdomain=uk", "https://www.linkedin.com/company/digital-catapult/life/7c6ca07c-13b4-48bb-bb4c-a1f256991b4f/?utm_source=chatgpt%2Ecom&amp;originalSubdomain=uk")</f>
        <v>https://www.linkedin.com/company/digital-catapult/life/7c6ca07c-13b4-48bb-bb4c-a1f256991b4f/?utm_source=chatgpt%2Ecom&amp;originalSubdomain=uk</v>
      </c>
      <c r="H75" t="inlineStr">
        <is>
          <t>Digital Catapult 是一家技术创新组织。我们致力于加速深度技术的实际应用，帮助英国为未来做好准备。</t>
        </is>
      </c>
      <c r="I75"/>
      <c r="J75"/>
      <c r="K75"/>
      <c r="L75" s="2" t="str">
        <f>=HYPERLINK("mailto:info@digicatapult.org.uk", "info@digicatapult.org.uk")</f>
        <v>info@digicatapult.org.uk</v>
      </c>
      <c r="M75" t="inlineStr">
        <is>
          <t>02038 823 557</t>
        </is>
      </c>
      <c r="N75" s="3"/>
      <c r="O75" t="inlineStr">
        <is>
          <t>推进中</t>
        </is>
      </c>
      <c r="P75"/>
      <c r="Q75" t="inlineStr">
        <is>
          <t>上海市数据局西班牙英国团组</t>
        </is>
      </c>
      <c r="R75"/>
      <c r="S75"/>
      <c r="T75"/>
    </row>
    <row r="76" ht="25.5" customHeight="1">
      <c r="A76" t="inlineStr">
        <is>
          <t>公共政策计划 || 艾伦·图灵研究所/Public Policy Programme || The Alan Turing Institute</t>
        </is>
      </c>
      <c r="B76" t="inlineStr">
        <is>
          <t>英国</t>
        </is>
      </c>
      <c r="C76" t="inlineStr">
        <is>
          <t>伦敦</t>
        </is>
      </c>
      <c r="D76" t="inlineStr">
        <is>
          <t>公立研究项目（艾伦图灵研究所下属的公共政策项目）</t>
        </is>
      </c>
      <c r="E76" t="inlineStr">
        <is>
          <t>新一代信息技术</t>
        </is>
      </c>
      <c r="F76" t="inlineStr">
        <is>
          <t>公共政策项目 || 艾伦·图灵研究所</t>
        </is>
      </c>
      <c r="G76" s="2" t="str">
        <f>=HYPERLINK("https://www.linkedin.com/showcase/turing-public-policy-programme/?utm_source=chatgpt%2Ecom&amp;originalSubdomain=uk", "https://www.linkedin.com/showcase/turing-public-policy-programme/?utm_source=chatgpt%2Ecom&amp;originalSubdomain=uk")</f>
        <v>https://www.linkedin.com/showcase/turing-public-policy-programme/?utm_source=chatgpt%2Ecom&amp;originalSubdomain=uk</v>
      </c>
      <c r="H76" t="inlineStr">
        <is>
          <t>我们是艾伦图灵研究所的公共政策项目，这是一个致力于公共政策数据科学和人工智能研究的世界领先研究团体。</t>
        </is>
      </c>
      <c r="I76"/>
      <c r="J76"/>
      <c r="K76" t="inlineStr">
        <is>
          <t>https://www.turing.ac.uk/contact-us</t>
        </is>
      </c>
      <c r="L76" s="2" t="str">
        <f>=HYPERLINK("mailto:press@turing.ac.uk", "press@turing.ac.uk")</f>
        <v>press@turing.ac.uk</v>
      </c>
      <c r="M76" t="inlineStr">
        <is>
          <t xml:space="preserve">44 (0)20 3862 3352. </t>
        </is>
      </c>
      <c r="N76" s="3"/>
      <c r="O76" t="inlineStr">
        <is>
          <t>推进中</t>
        </is>
      </c>
      <c r="P76"/>
      <c r="Q76" t="inlineStr">
        <is>
          <t>上海市数据局西班牙英国团组</t>
        </is>
      </c>
      <c r="R76"/>
      <c r="S76"/>
      <c r="T76"/>
    </row>
    <row r="77" ht="25.5" customHeight="1">
      <c r="A77" t="inlineStr">
        <is>
          <t>开放数据研究所/Open Data Institute</t>
        </is>
      </c>
      <c r="B77" t="inlineStr">
        <is>
          <t>英国</t>
        </is>
      </c>
      <c r="C77" t="inlineStr">
        <is>
          <t>伦敦</t>
        </is>
      </c>
      <c r="D77" t="inlineStr">
        <is>
          <t>非营利组织</t>
        </is>
      </c>
      <c r="E77" t="inlineStr">
        <is>
          <t>新一代信息技术</t>
        </is>
      </c>
      <c r="F77" t="inlineStr">
        <is>
          <t>开放数据研究所</t>
        </is>
      </c>
      <c r="G77" s="2" t="str">
        <f>=HYPERLINK("https://www.linkedin.com/company/the-open-data-institute/?utm_source=chatgpt%2Ecom&amp;originalSubdomain=uk", "https://www.linkedin.com/company/the-open-data-institute/?utm_source=chatgpt%2Ecom&amp;originalSubdomain=uk")</f>
        <v>https://www.linkedin.com/company/the-open-data-institute/?utm_source=chatgpt%2Ecom&amp;originalSubdomain=uk</v>
      </c>
      <c r="H77" t="inlineStr">
        <is>
          <t>ODI 是一家非营利性公司，由万维网发明者蒂姆·伯纳斯-李爵士和人工智能专家奈杰尔·沙德博尔特爵士于 2012 年创立，总部位于英国伦敦国王十字区。我们的使命是与企业和政府合作，构建一个开放、值得信赖的数据生态系统。我们希望世界……查看更多</t>
        </is>
      </c>
      <c r="I77"/>
      <c r="J77"/>
      <c r="K77" t="inlineStr">
        <is>
          <t>comms@theodi.org</t>
        </is>
      </c>
      <c r="L77" s="2" t="str">
        <f>=HYPERLINK("http://comms@theodi.org", "comms@theodi.org")</f>
        <v>comms@theodi.org</v>
      </c>
      <c r="M77"/>
      <c r="N77" s="3"/>
      <c r="O77" t="inlineStr">
        <is>
          <t>推进中</t>
        </is>
      </c>
      <c r="P77"/>
      <c r="Q77" t="inlineStr">
        <is>
          <t>上海市数据局西班牙英国团组</t>
        </is>
      </c>
      <c r="R77"/>
      <c r="S77"/>
      <c r="T77"/>
    </row>
    <row r="78" ht="25.5" customHeight="1">
      <c r="A78" t="inlineStr">
        <is>
          <t>SafeToNet（网络安全公司）/SafeToNet</t>
        </is>
      </c>
      <c r="B78" t="inlineStr">
        <is>
          <t>英国</t>
        </is>
      </c>
      <c r="C78" t="inlineStr">
        <is>
          <t>伦敦</t>
        </is>
      </c>
      <c r="D78" t="inlineStr">
        <is>
          <t>私营企业</t>
        </is>
      </c>
      <c r="E78" t="inlineStr">
        <is>
          <t>新一代信息技术</t>
        </is>
      </c>
      <c r="F78" t="inlineStr">
        <is>
          <t>SafeToNet</t>
        </is>
      </c>
      <c r="G78" s="2" t="str">
        <f>=HYPERLINK("https://www.linkedin.com/company/safetonet-ltd/", "https://www.linkedin.com/company/safetonet-ltd/")</f>
        <v>https://www.linkedin.com/company/safetonet-ltd/</v>
      </c>
      <c r="H78" t="inlineStr">
        <is>
          <t>我们是屡获殊荣的网络安全先锋，致力于打造更健康的科技。十多年来，我们引领人工智能创新，保护儿童网络安全。如今，我们携手 HarmBlock，重塑互联网，助力下一代健康发展。</t>
        </is>
      </c>
      <c r="I78"/>
      <c r="J78"/>
      <c r="K78" t="inlineStr">
        <is>
          <t>https://safetonet.com/contact/</t>
        </is>
      </c>
      <c r="L78" s="2"/>
      <c r="M78" t="inlineStr">
        <is>
          <t>44 (0)203 950 3047</t>
        </is>
      </c>
      <c r="N78" s="3"/>
      <c r="O78" t="inlineStr">
        <is>
          <t>推进中</t>
        </is>
      </c>
      <c r="P78"/>
      <c r="Q78" t="inlineStr">
        <is>
          <t>上海市数据局西班牙英国团组</t>
        </is>
      </c>
      <c r="R78"/>
      <c r="S78"/>
      <c r="T78"/>
    </row>
    <row r="79" ht="25.5" customHeight="1">
      <c r="A79" t="inlineStr">
        <is>
          <t>Improbable</t>
        </is>
      </c>
      <c r="B79" t="inlineStr">
        <is>
          <t>英国</t>
        </is>
      </c>
      <c r="C79" t="inlineStr">
        <is>
          <t>伦敦</t>
        </is>
      </c>
      <c r="D79" t="inlineStr">
        <is>
          <t>私营企业</t>
        </is>
      </c>
      <c r="E79" t="inlineStr">
        <is>
          <t>新一代信息技术</t>
        </is>
      </c>
      <c r="F79" t="inlineStr">
        <is>
          <t>城市模拟与虚拟城市方案</t>
        </is>
      </c>
      <c r="G79" s="2" t="str">
        <f>=HYPERLINK("https://www.linkedin.com/company/improbable/", "https://www.linkedin.com/company/improbable/")</f>
        <v>https://www.linkedin.com/company/improbable/</v>
      </c>
      <c r="H79" t="inlineStr">
        <is>
          <t>城市模拟与虚拟城市方案</t>
        </is>
      </c>
      <c r="I79"/>
      <c r="J79"/>
      <c r="K79" t="inlineStr">
        <is>
          <t>https://www.improbable.io/contact</t>
        </is>
      </c>
      <c r="L79" s="2"/>
      <c r="M79"/>
      <c r="N79" s="3"/>
      <c r="O79" t="inlineStr">
        <is>
          <t>推进中</t>
        </is>
      </c>
      <c r="P79"/>
      <c r="Q79" t="inlineStr">
        <is>
          <t>上海市数据局西班牙英国团组</t>
        </is>
      </c>
      <c r="R79"/>
      <c r="S79"/>
      <c r="T79"/>
    </row>
    <row r="80" ht="25.5" customHeight="1">
      <c r="A80" t="inlineStr">
        <is>
          <t>数据中心国家/Data Center Nation</t>
        </is>
      </c>
      <c r="B80" t="inlineStr">
        <is>
          <t>英国</t>
        </is>
      </c>
      <c r="C80" t="inlineStr">
        <is>
          <t>伦敦</t>
        </is>
      </c>
      <c r="D80" t="inlineStr">
        <is>
          <t>私营企业</t>
        </is>
      </c>
      <c r="E80" t="inlineStr">
        <is>
          <t>新一代信息技术</t>
        </is>
      </c>
      <c r="F80" t="inlineStr">
        <is>
          <t>数据中心国家</t>
        </is>
      </c>
      <c r="G80" s="2" t="str">
        <f>=HYPERLINK("https://www.linkedin.com/company/datacenternation/", "https://www.linkedin.com/company/datacenternation/")</f>
        <v>https://www.linkedin.com/company/datacenternation/</v>
      </c>
      <c r="H80" t="inlineStr">
        <is>
          <t>Data Center Nation 是新兴数据中心枢纽数字化转型活动的领先提供商。</t>
        </is>
      </c>
      <c r="I80"/>
      <c r="J80"/>
      <c r="K80" t="inlineStr">
        <is>
          <t>https://datacenternation.com/#contact</t>
        </is>
      </c>
      <c r="L80" s="2" t="str">
        <f>=HYPERLINK("http://info@datacenternation.com", "info@datacenternation.com")</f>
        <v>info@datacenternation.com</v>
      </c>
      <c r="M80"/>
      <c r="N80" s="3"/>
      <c r="O80" t="inlineStr">
        <is>
          <t>推进中</t>
        </is>
      </c>
      <c r="P80"/>
      <c r="Q80" t="inlineStr">
        <is>
          <t>上海市数据局西班牙英国团组</t>
        </is>
      </c>
      <c r="R80"/>
      <c r="S80"/>
      <c r="T80"/>
    </row>
    <row r="81" ht="25.5" customHeight="1">
      <c r="A81" t="inlineStr">
        <is>
          <t>伦敦大学学院人工智能中心/UCL AI Centre</t>
        </is>
      </c>
      <c r="B81" t="inlineStr">
        <is>
          <t>英国</t>
        </is>
      </c>
      <c r="C81" t="inlineStr">
        <is>
          <t>伦敦</t>
        </is>
      </c>
      <c r="D81" t="inlineStr">
        <is>
          <t>公立研究中心</t>
        </is>
      </c>
      <c r="E81" t="inlineStr">
        <is>
          <t>新一代信息技术</t>
        </is>
      </c>
      <c r="F81" t="inlineStr">
        <is>
          <t>伦敦大学人工智能中心</t>
        </is>
      </c>
      <c r="G81" s="2" t="str">
        <f>=HYPERLINK("https://www.linkedin.com/company/ucl-ai-centre/?originalSubdomain=uk", "https://www.linkedin.com/company/ucl-ai-centre/?originalSubdomain=uk")</f>
        <v>https://www.linkedin.com/company/ucl-ai-centre/?originalSubdomain=uk</v>
      </c>
      <c r="H81" t="inlineStr">
        <is>
          <t>人工智能研究、教学和创业 UCL 人工智能中心是 UCL 人工智能研究和学习的中心。</t>
        </is>
      </c>
      <c r="I81"/>
      <c r="J81"/>
      <c r="K81" t="inlineStr">
        <is>
          <t>https://www.ucl.ac.uk/engineering/ai-centre</t>
        </is>
      </c>
      <c r="L81" s="2" t="str">
        <f>=HYPERLINK("mailto:a.widdup@ucl.ac.uk%EF%BC%9Bclaire.hudson@ucl.ac.uk", "a.widdup@ucl.ac.uk；claire.hudson@ucl.ac.uk； https://www.linkedin.com/in/he-wang-37970b27/")</f>
        <v>a.widdup@ucl.ac.uk；claire.hudson@ucl.ac.uk； https://www.linkedin.com/in/he-wang-37970b27/</v>
      </c>
      <c r="M81"/>
      <c r="N81" s="3"/>
      <c r="O81" t="inlineStr">
        <is>
          <t>已联系已回复</t>
        </is>
      </c>
      <c r="P81"/>
      <c r="Q81" t="inlineStr">
        <is>
          <t>上海市数据局西班牙英国团组</t>
        </is>
      </c>
      <c r="R81"/>
      <c r="S81" t="inlineStr">
        <is>
          <t>合作方向：
1. 学术交流与联合研究：组织国内顶尖高校、科研院所及人工智能重点实验室的因公出访团组，与UCL人工智能中心开展高层次学术对话，探讨在可信AI、医疗AI、机器人学等前沿方向的联合研究项目。
2. 科研人员访学与高级培训：选派国内中青年骨干科研人员、工程师赴该中心进行中长期访学或参加其举办的短期高级研修班，深入接触世界级AI前沿理论与方法。
3. 博士生联合培养与奖学金计划：设立双导师制博士联合培养项目或专项奖学金，支持优秀中国博士生在该中心深造，参与国际领先的AI课题研究。
4. 政策与伦理研讨会：围绕人工智能治理、伦理标准、产业政策等议题，共同举办高端闭门研讨会，为中国相关政策的制定与完善提供国际视角与学术支撑。
5. 创新转化与产业链接：借助UCL在AI成果转化方面的经验与网络，促进中心的前沿研究与国内产业需求对接，探索建立联合实验室或孵化项目。
合作领域：
核心领域：机器学习基础理论、可信与安全AI、医疗人工智能、机器人技术与自主系统。
特色领域：AI与自然科学交叉（如AI for Science）、人工智能伦理与治理、计算创造力。</t>
        </is>
      </c>
      <c r="T81"/>
    </row>
    <row r="82" ht="25.5" customHeight="1">
      <c r="A82" t="inlineStr">
        <is>
          <t>人工智能研究中心/CitAIArtificial Intelligence Research Centre, CitAI</t>
        </is>
      </c>
      <c r="B82" t="inlineStr">
        <is>
          <t>英国</t>
        </is>
      </c>
      <c r="C82" t="inlineStr">
        <is>
          <t>伦敦</t>
        </is>
      </c>
      <c r="D82" t="inlineStr">
        <is>
          <t>公立研究中心</t>
        </is>
      </c>
      <c r="E82" t="inlineStr">
        <is>
          <t>新一代信息技术</t>
        </is>
      </c>
      <c r="F82" t="inlineStr">
        <is>
          <t>伦敦城市大学计算机科学系；人工智能研究中心 CitAI</t>
        </is>
      </c>
      <c r="G82" s="2" t="str">
        <f>=HYPERLINK("https://researchcentres.citystgeorges.ac.uk/citai?utm_source=chatgpt.com", "https://researchcentres.citystgeorges.ac.uk/citai?utm_source=chatgpt.com")</f>
        <v>https://researchcentres.citystgeorges.ac.uk/citai?utm_source=chatgpt.com</v>
      </c>
      <c r="H82" t="inlineStr">
        <is>
          <t>人工智能研究中心 CitAI 位于伦敦城市大学计算机科学系。我们专注于新型人工智能技术、可解释人工智能 (XAI) 和通用人工智能 (AGI) 的交叉研究，并密切关注人工智能的法律、伦理和社会影响。</t>
        </is>
      </c>
      <c r="I82"/>
      <c r="J82"/>
      <c r="K82" t="inlineStr">
        <is>
          <t>https://researchcentres.citystgeorges.ac.uk/citai?utm_source=chatgpt.com#unit=doctoral-training</t>
        </is>
      </c>
      <c r="L82" s="2" t="str">
        <f>=HYPERLINK("mailto:E.Alonso@city.ac.uk.", "E.Alonso@city.ac.uk.")</f>
        <v>E.Alonso@city.ac.uk.</v>
      </c>
      <c r="M82" t="inlineStr">
        <is>
          <t>44 (0)20 7040 5060</t>
        </is>
      </c>
      <c r="N82" s="3"/>
      <c r="O82" t="inlineStr">
        <is>
          <t>已联系未回复</t>
        </is>
      </c>
      <c r="P82"/>
      <c r="Q82" t="inlineStr">
        <is>
          <t>上海市数据局西班牙英国团组</t>
        </is>
      </c>
      <c r="R82"/>
      <c r="S82"/>
      <c r="T82"/>
    </row>
    <row r="83" ht="25.5" customHeight="1">
      <c r="A83" t="inlineStr">
        <is>
          <t>伦敦大学学院人工智能学会/UCL Artificial Intelligence Society</t>
        </is>
      </c>
      <c r="B83" t="inlineStr">
        <is>
          <t>英国</t>
        </is>
      </c>
      <c r="C83" t="inlineStr">
        <is>
          <t>伦敦</t>
        </is>
      </c>
      <c r="D83" t="inlineStr">
        <is>
          <t>学生组织</t>
        </is>
      </c>
      <c r="E83" t="inlineStr">
        <is>
          <t>新一代信息技术</t>
        </is>
      </c>
      <c r="F83" t="inlineStr">
        <is>
          <t>伦敦大学人工智能协会</t>
        </is>
      </c>
      <c r="G83" s="2" t="str">
        <f>=HYPERLINK("https://www.linkedin.com/company/ucl-artificial-intelligence-society/", "https://www.linkedin.com/company/ucl-artificial-intelligence-society/")</f>
        <v>https://www.linkedin.com/company/ucl-artificial-intelligence-society/</v>
      </c>
      <c r="H83" t="inlineStr">
        <is>
          <t>我们是英国首个专注于人工智能的社团。我们坚信，人工智能将很快彻底改变我们生活的方方面面，包括商业、经济和工业。许多人尚未意识到这项技术的真正潜力。我们的目标是提高公众对人工智能的认识，并为我们的会员提供所有必要的知识和工具，使他们能够规避所有风险，抓住近期和远期的所有机遇。</t>
        </is>
      </c>
      <c r="I83"/>
      <c r="J83"/>
      <c r="K83" t="inlineStr">
        <is>
          <t>https://studentsunionucl.org/clubs-societies/artificial-intelligence-society</t>
        </is>
      </c>
      <c r="L83" s="2"/>
      <c r="M83"/>
      <c r="N83" s="3"/>
      <c r="O83" t="inlineStr">
        <is>
          <t>已联系未回复</t>
        </is>
      </c>
      <c r="P83"/>
      <c r="Q83" t="inlineStr">
        <is>
          <t>上海市数据局西班牙英国团组</t>
        </is>
      </c>
      <c r="R83"/>
      <c r="S83"/>
      <c r="T83"/>
    </row>
    <row r="84" ht="25.5" customHeight="1">
      <c r="A84" t="inlineStr">
        <is>
          <t>大创新中心/Big Innovation Centre</t>
        </is>
      </c>
      <c r="B84" t="inlineStr">
        <is>
          <t>英国</t>
        </is>
      </c>
      <c r="C84" t="inlineStr">
        <is>
          <t>伦敦</t>
        </is>
      </c>
      <c r="D84" t="inlineStr">
        <is>
          <t>私营智库 / 创新孵化平台</t>
        </is>
      </c>
      <c r="E84" t="inlineStr">
        <is>
          <t>新一代信息技术</t>
        </is>
      </c>
      <c r="F84" t="inlineStr">
        <is>
          <t>大型创新中心 (BIC)</t>
        </is>
      </c>
      <c r="G84" s="2" t="str">
        <f>=HYPERLINK("https://www.linkedin.com/company/biginnovcentre/", "https://www.linkedin.com/company/biginnovcentre/")</f>
        <v>https://www.linkedin.com/company/biginnovcentre/</v>
      </c>
      <c r="H84" t="inlineStr">
        <is>
          <t>大型创新中心 (BIC) 成立于 2011 年，是一家总部位于伦敦的领先智库和网络组织，致力于培育创新生态系统，并将创新融入商业模式、市场和技术政策。BIC 通过合作伙伴关系、严谨的证据收集和专家指导来实现这一目标。BIC 还担任跨党派议会人工智能小组 (APPG AI) 的秘书处，在英国新兴技术政策的制定中发挥着关键作用。</t>
        </is>
      </c>
      <c r="I84"/>
      <c r="J84"/>
      <c r="K84" t="inlineStr">
        <is>
          <t>https://biginnovationcentre.com/contact-us/</t>
        </is>
      </c>
      <c r="L84" s="2" t="str">
        <f>=HYPERLINK("mailto:partnerships@biginnovationcentre.com", "partnerships@biginnovationcentre.com")</f>
        <v>partnerships@biginnovationcentre.com</v>
      </c>
      <c r="M84"/>
      <c r="N84" s="3"/>
      <c r="O84" t="inlineStr">
        <is>
          <t>已联系未回复</t>
        </is>
      </c>
      <c r="P84"/>
      <c r="Q84" t="inlineStr">
        <is>
          <t>上海市数据局西班牙英国团组</t>
        </is>
      </c>
      <c r="R84"/>
      <c r="S84"/>
      <c r="T84"/>
    </row>
    <row r="85" ht="25.5" customHeight="1">
      <c r="A85" t="inlineStr">
        <is>
          <t>英国人工智能跨党派议会小组/（APPG AI）APPG AI</t>
        </is>
      </c>
      <c r="B85" t="inlineStr">
        <is>
          <t>英国</t>
        </is>
      </c>
      <c r="C85" t="inlineStr">
        <is>
          <t>伦敦</t>
        </is>
      </c>
      <c r="D85" t="inlineStr">
        <is>
          <t>跨党派议会小组</t>
        </is>
      </c>
      <c r="E85" t="inlineStr">
        <is>
          <t>新一代信息技术</t>
        </is>
      </c>
      <c r="F85" t="inlineStr">
        <is>
          <t>跨党派议会人工智能小组</t>
        </is>
      </c>
      <c r="G85" s="2" t="str">
        <f>=HYPERLINK("https://www.linkedin.com/company/appg-ai/", "https://www.linkedin.com/company/appg-ai/")</f>
        <v>https://www.linkedin.com/company/appg-ai/</v>
      </c>
      <c r="H85" t="inlineStr">
        <is>
          <t>APPG AI 成立于 2017 年 1 月，旨在解决人工智能 (AI) 应用的伦理问题和新的行业规范，包括机器学习、决策、自然语言理解、自动推理、自主系统、生成式人工智能和其他形式。我们将不谈太多技术性，尝试理解人工智能将如何影响英国公民和组织的生活，以及随后应该如何对其进行监管？医疗、能源、保险、咨询、金融、法律和知识密集型商业服务将如何交易？新的商业模式应该如何监管？数据又该如何监管？有很多问题需要探索，证据是制定监管和政策的关键。</t>
        </is>
      </c>
      <c r="I85"/>
      <c r="J85"/>
      <c r="K85" t="inlineStr">
        <is>
          <t>https://bicpavilion.com/about_pavilion/appg-artificial-intelligence</t>
        </is>
      </c>
      <c r="L85" s="2"/>
      <c r="M85"/>
      <c r="N85" s="3"/>
      <c r="O85" t="inlineStr">
        <is>
          <t>已联系未回复</t>
        </is>
      </c>
      <c r="P85"/>
      <c r="Q85" t="inlineStr">
        <is>
          <t>上海市数据局西班牙英国团组</t>
        </is>
      </c>
      <c r="R85"/>
      <c r="S85"/>
      <c r="T85"/>
    </row>
    <row r="86" ht="25.5" customHeight="1">
      <c r="A86" t="inlineStr">
        <is>
          <t>UnLtd</t>
        </is>
      </c>
      <c r="B86" t="inlineStr">
        <is>
          <t>英国</t>
        </is>
      </c>
      <c r="C86" t="inlineStr">
        <is>
          <t>伦敦</t>
        </is>
      </c>
      <c r="D86" t="inlineStr">
        <is>
          <t>非营利组织</t>
        </is>
      </c>
      <c r="E86" t="inlineStr">
        <is>
          <t>新一代信息技术</t>
        </is>
      </c>
      <c r="F86" t="inlineStr">
        <is>
          <t>社会企业家基金会</t>
        </is>
      </c>
      <c r="G86" s="2" t="str">
        <f>=HYPERLINK("https://www.linkedin.com/company/unltd/", "https://www.linkedin.com/company/unltd/")</f>
        <v>https://www.linkedin.com/company/unltd/</v>
      </c>
      <c r="H86"/>
      <c r="I86"/>
      <c r="J86"/>
      <c r="K86"/>
      <c r="L86" s="2"/>
      <c r="M86"/>
      <c r="N86" s="3"/>
      <c r="O86" t="inlineStr">
        <is>
          <t>已联系未回复</t>
        </is>
      </c>
      <c r="P86"/>
      <c r="Q86" t="inlineStr">
        <is>
          <t>上海市数据局西班牙英国团组</t>
        </is>
      </c>
      <c r="R86"/>
      <c r="S86"/>
      <c r="T86"/>
    </row>
    <row r="87" ht="25.5" customHeight="1">
      <c r="A87" t="inlineStr">
        <is>
          <t>英国加密货币协会/CryptoUK</t>
        </is>
      </c>
      <c r="B87" t="inlineStr">
        <is>
          <t>英国</t>
        </is>
      </c>
      <c r="C87" t="inlineStr">
        <is>
          <t>伦敦</t>
        </is>
      </c>
      <c r="D87" t="inlineStr">
        <is>
          <t>行业协会</t>
        </is>
      </c>
      <c r="E87" t="inlineStr">
        <is>
          <t>新一代信息技术</t>
        </is>
      </c>
      <c r="F87" t="inlineStr">
        <is>
          <t>CryptoUK</t>
        </is>
      </c>
      <c r="G87" s="2" t="str">
        <f>=HYPERLINK("https://cryptouk.io/", "https://cryptouk.io/")</f>
        <v>https://cryptouk.io/</v>
      </c>
      <c r="H87" t="inlineStr">
        <is>
          <t>CryptoUK 是代表英国数字资产行业的贸易机构，直接与政策制定者和市场参与者合作，制定英国和欧洲平衡的监管和治理政策。</t>
        </is>
      </c>
      <c r="I87"/>
      <c r="J87"/>
      <c r="K87" t="inlineStr">
        <is>
          <t>https://cryptouk.io/contact/</t>
        </is>
      </c>
      <c r="L87" s="2"/>
      <c r="M87"/>
      <c r="N87" s="3"/>
      <c r="O87" t="inlineStr">
        <is>
          <t>已联系未回复</t>
        </is>
      </c>
      <c r="P87"/>
      <c r="Q87" t="inlineStr">
        <is>
          <t>上海市数据局西班牙英国团组</t>
        </is>
      </c>
      <c r="R87"/>
      <c r="S87"/>
      <c r="T87"/>
    </row>
    <row r="88" ht="25.5" customHeight="1">
      <c r="A88" t="inlineStr">
        <is>
          <t>国际计算机援助公司/Computer Aid International</t>
        </is>
      </c>
      <c r="B88" t="inlineStr">
        <is>
          <t>英国</t>
        </is>
      </c>
      <c r="C88" t="inlineStr">
        <is>
          <t>伦敦</t>
        </is>
      </c>
      <c r="D88" t="inlineStr">
        <is>
          <t>非政府组织（推动数字平等和可持续IT</t>
        </is>
      </c>
      <c r="E88" t="inlineStr">
        <is>
          <t>新一代信息技术</t>
        </is>
      </c>
      <c r="F88" t="inlineStr">
        <is>
          <t>计算机援助国际</t>
        </is>
      </c>
      <c r="G88" s="2" t="str">
        <f>=HYPERLINK("http://www.computeraid.org/", "http://www.computeraid.org")</f>
        <v>http://www.computeraid.org</v>
      </c>
      <c r="H88" t="inlineStr">
        <is>
          <t>计算机援助国际 (Computer Aid International) 是一家致力于通过技术赋能社区的社会企业。作为全球历史最悠久、经验最丰富的技术促进发展机构，我们已帮助全球超过 1500 万人直接接触科技，改变他们的未来……查看更多</t>
        </is>
      </c>
      <c r="I88"/>
      <c r="J88"/>
      <c r="K88" t="inlineStr">
        <is>
          <t>https://www.computeraid.org/en/contact-us/</t>
        </is>
      </c>
      <c r="L88" s="2" t="str">
        <f>=HYPERLINK("mailto:info@computeraid.org", "info@computeraid.org")</f>
        <v>info@computeraid.org</v>
      </c>
      <c r="M88" t="inlineStr">
        <is>
          <t>44 (0) 208 361 5540</t>
        </is>
      </c>
      <c r="N88" s="3"/>
      <c r="O88" t="inlineStr">
        <is>
          <t>已联系未回复</t>
        </is>
      </c>
      <c r="P88"/>
      <c r="Q88" t="inlineStr">
        <is>
          <t>上海市数据局西班牙英国团组</t>
        </is>
      </c>
      <c r="R88"/>
      <c r="S88"/>
      <c r="T88"/>
    </row>
    <row r="89" ht="25.5" customHeight="1">
      <c r="A89" t="inlineStr">
        <is>
          <t>阿达·洛夫莱斯研究所/Ada Lovelace Institute</t>
        </is>
      </c>
      <c r="B89" t="inlineStr">
        <is>
          <t>英国</t>
        </is>
      </c>
      <c r="C89" t="inlineStr">
        <is>
          <t>伦敦</t>
        </is>
      </c>
      <c r="D89" t="inlineStr">
        <is>
          <t>研究机构 / 智库（聚焦AI伦理、数据与社会影响）</t>
        </is>
      </c>
      <c r="E89" t="inlineStr">
        <is>
          <t>新一代信息技术</t>
        </is>
      </c>
      <c r="F89" t="inlineStr">
        <is>
          <t>艾达·洛夫莱斯研究所</t>
        </is>
      </c>
      <c r="G89" s="2" t="str">
        <f>=HYPERLINK("https://www.linkedin.com/company/ada-lovelace-institute/", "https://www.linkedin.com/company/ada-lovelace-institute/")</f>
        <v>https://www.linkedin.com/company/ada-lovelace-institute/</v>
      </c>
      <c r="H89" t="inlineStr">
        <is>
          <t>艾达·洛夫莱斯研究所 (Ada Lovelace Institute) 是一家独立研究机构，其使命是确保数据和人工智能服务于人类和社会。艾达将促进公众更好地理解人工智能和数据驱动技术对社会不同群体的影响。</t>
        </is>
      </c>
      <c r="I89"/>
      <c r="J89"/>
      <c r="K89" t="inlineStr">
        <is>
          <t>https://www.adalovelaceinstitute.org/about/contact/</t>
        </is>
      </c>
      <c r="L89" s="2" t="str">
        <f>=HYPERLINK("mailto:glloyd-king@adalovelaceinstitute.org%EF%BC%9Bsmalik@adalovelaceinstitute.org", "glloyd-king@adalovelaceinstitute.org；smalik@adalovelaceinstitute.org; https://www.linkedin.com/in/imogen-parker-44131813/details/education/")</f>
        <v>glloyd-king@adalovelaceinstitute.org；smalik@adalovelaceinstitute.org; https://www.linkedin.com/in/imogen-parker-44131813/details/education/</v>
      </c>
      <c r="M89"/>
      <c r="N89" s="3"/>
      <c r="O89" t="inlineStr">
        <is>
          <t>已联系未回复</t>
        </is>
      </c>
      <c r="P89"/>
      <c r="Q89" t="inlineStr">
        <is>
          <t>上海市数据局西班牙英国团组</t>
        </is>
      </c>
      <c r="R89"/>
      <c r="S89"/>
      <c r="T89"/>
    </row>
    <row r="90" ht="25.5" customHeight="1">
      <c r="A90" t="inlineStr">
        <is>
          <t>区块链与气候研究所/Blockchain &amp; Climate Institute</t>
        </is>
      </c>
      <c r="B90" t="inlineStr">
        <is>
          <t>英国</t>
        </is>
      </c>
      <c r="C90" t="inlineStr">
        <is>
          <t>伦敦</t>
        </is>
      </c>
      <c r="D90" t="inlineStr">
        <is>
          <t>	非营利组织（推动区块链在气候行动中的应用）</t>
        </is>
      </c>
      <c r="E90" t="inlineStr">
        <is>
          <t>新一代信息技术</t>
        </is>
      </c>
      <c r="F90" t="inlineStr">
        <is>
          <t>区块链与气候研究所 (BCI)</t>
        </is>
      </c>
      <c r="G90" s="2" t="str">
        <f>=HYPERLINK("https://www.linkedin.com/company/blockchainclimateinstitute/?utm_source=chatgpt%2Ecom&amp;originalSubdomain=uk", "https://www.linkedin.com/company/blockchainclimateinstitute/?utm_source=chatgpt%2Ecom&amp;originalSubdomain=uk")</f>
        <v>https://www.linkedin.com/company/blockchainclimateinstitute/?utm_source=chatgpt%2Ecom&amp;originalSubdomain=uk</v>
      </c>
      <c r="H90" t="inlineStr">
        <is>
          <t>区块链与气候研究所 (BCI) 是一个非营利性机构，集智库、倡导团体和商会等职能于一体。区块链与气候研究所为政策制定者、企业高管和区块链创新者提供了一个“超级连接者”平台，让他们能够在有利的环境中尝试并应用最可行的概念。</t>
        </is>
      </c>
      <c r="I90"/>
      <c r="J90"/>
      <c r="K90"/>
      <c r="L90" s="2"/>
      <c r="M90"/>
      <c r="N90" s="3"/>
      <c r="O90" t="inlineStr">
        <is>
          <t>已联系未回复</t>
        </is>
      </c>
      <c r="P90"/>
      <c r="Q90" t="inlineStr">
        <is>
          <t>上海市数据局西班牙英国团组</t>
        </is>
      </c>
      <c r="R90"/>
      <c r="S90"/>
      <c r="T90"/>
    </row>
    <row r="91" ht="25.5" customHeight="1">
      <c r="A91" t="inlineStr">
        <is>
          <t>梅里迪安剑桥/Meridian Cambridge</t>
        </is>
      </c>
      <c r="B91" t="inlineStr">
        <is>
          <t>英国</t>
        </is>
      </c>
      <c r="C91" t="inlineStr">
        <is>
          <t>剑桥</t>
        </is>
      </c>
      <c r="D91" t="inlineStr">
        <is>
          <t>科技园区 / 创新中心</t>
        </is>
      </c>
      <c r="E91" t="inlineStr">
        <is>
          <t>新一代信息技术</t>
        </is>
      </c>
      <c r="F91" t="inlineStr">
        <is>
          <t>子午线剑桥</t>
        </is>
      </c>
      <c r="G91" s="2" t="str">
        <f>=HYPERLINK("https://www.linkedin.com/company/meridian-cambridge/", "https://www.linkedin.com/company/meridian-cambridge/")</f>
        <v>https://www.linkedin.com/company/meridian-cambridge/</v>
      </c>
      <c r="H91" t="inlineStr">
        <is>
          <t>Meridian Cambridge 是一家独立的非营利研究机构，致力于加速人工智能安全、生物安全和其他前沿风险问题的研究。</t>
        </is>
      </c>
      <c r="I91"/>
      <c r="J91"/>
      <c r="K91" t="inlineStr">
        <is>
          <t>https://www.meridiancambridge.org/</t>
        </is>
      </c>
      <c r="L91" s="2" t="str">
        <f>=HYPERLINK("mailto:info@meridiancambridge.org", "info@meridiancambridge.org")</f>
        <v>info@meridiancambridge.org</v>
      </c>
      <c r="M91"/>
      <c r="N91" s="3"/>
      <c r="O91" t="inlineStr">
        <is>
          <t>已联系未回复</t>
        </is>
      </c>
      <c r="P91"/>
      <c r="Q91" t="inlineStr">
        <is>
          <t>上海市数据局西班牙英国团组</t>
        </is>
      </c>
      <c r="R91"/>
      <c r="S91"/>
      <c r="T91"/>
    </row>
    <row r="92" ht="25.5" customHeight="1">
      <c r="A92" t="inlineStr">
        <is>
          <t>科技公司/Eilla</t>
        </is>
      </c>
      <c r="B92" t="inlineStr">
        <is>
          <t>英国</t>
        </is>
      </c>
      <c r="C92" t="inlineStr">
        <is>
          <t>伦敦</t>
        </is>
      </c>
      <c r="D92" t="inlineStr">
        <is>
          <t>私营企业（AI初创公司，聚焦企业任务自动化）</t>
        </is>
      </c>
      <c r="E92" t="inlineStr">
        <is>
          <t>新一代信息技术</t>
        </is>
      </c>
      <c r="F92" t="inlineStr">
        <is>
          <t>Eilla</t>
        </is>
      </c>
      <c r="G92" s="2" t="str">
        <f>=HYPERLINK("https://eilla.ai/", "https://eilla.ai/")</f>
        <v>https://eilla.ai/</v>
      </c>
      <c r="H92" t="inlineStr">
        <is>
          <t>Eilla 是一个人工智能平台，助力并购、风险投资和私募股权交易流程。它模仿行业顶尖专业人士，自动化处理日常工作。</t>
        </is>
      </c>
      <c r="I92"/>
      <c r="J92"/>
      <c r="K92" t="inlineStr">
        <is>
          <t>https://eilla.ai/</t>
        </is>
      </c>
      <c r="L92" s="2"/>
      <c r="M92" t="inlineStr">
        <is>
          <t xml:space="preserve"> </t>
        </is>
      </c>
      <c r="N92" s="3"/>
      <c r="O92" t="inlineStr">
        <is>
          <t>已联系已回复</t>
        </is>
      </c>
      <c r="P92"/>
      <c r="Q92" t="inlineStr">
        <is>
          <t>上海市数据局西班牙英国团组</t>
        </is>
      </c>
      <c r="R92"/>
      <c r="S92" t="inlineStr">
        <is>
          <t>合作方向：
1. 技术考察与产业对接：组织因公出访团组（如科技局、高新区、重点企业）赴该公司考察，了解其核心技术（如AI、数据科学、行业解决方案等）及应用案例，探讨技术引进或联合开发可能。
2. 专业人才培训与研讨：针对国内相关领域技术人员或管理者，设计短期技术培训、工作坊或行业研讨会，提升在特定技术领域的实践能力。
3. 联合研发与试点项目：围绕智慧城市、智能制造、数字健康等双方共同关注的领域，开展联合技术研发或在华落地试点项目。
4. 市场拓展与生态合作：协助该公司对接中国市场资源与政策环境，支持其产品或服务在华试点推广，并探索与本地企业建立合作伙伴关系。
合作领域：
核心领域：人工智能（AI）与机器学习、大数据分析与可视化、行业数字化解决方案。
特色领域：自动化流程、预测性分析、智能决策系统。</t>
        </is>
      </c>
      <c r="T92"/>
    </row>
    <row r="93" ht="25.5" customHeight="1">
      <c r="A93" t="inlineStr">
        <is>
          <t>托特纳姆热刺足球俱乐部/Tottenham Hotspur FC</t>
        </is>
      </c>
      <c r="B93" t="inlineStr">
        <is>
          <t>英国</t>
        </is>
      </c>
      <c r="C93" t="inlineStr">
        <is>
          <t>伦敦</t>
        </is>
      </c>
      <c r="D93" t="inlineStr">
        <is>
          <t>职业俱乐部／青训</t>
        </is>
      </c>
      <c r="E93" t="inlineStr">
        <is>
          <t>体育</t>
        </is>
      </c>
      <c r="F93" t="inlineStr">
        <is>
          <t>莉莉怀特大厦，伦敦高路782号，邮编N17 0BX</t>
        </is>
      </c>
      <c r="G93" s="2" t="str">
        <f>=HYPERLINK("https://www.tottenhamhotspur.com/", "https://www.tottenhamhotspur.com/")</f>
        <v>https://www.tottenhamhotspur.com/</v>
      </c>
      <c r="H93" t="inlineStr">
        <is>
          <t>热刺青训学院位于北伦敦顶尖的恩菲尔德训练中心，其培养体系注重技战术素养与现代足球理念的结合，致力于培养兼具技术能力和战术纪律的球员，凯恩是其最杰出的代表作。</t>
        </is>
      </c>
      <c r="I93"/>
      <c r="J93"/>
      <c r="K93"/>
      <c r="L93" s="2" t="str">
        <f>=HYPERLINK("mailto:foundation@tottenhamhotspur.com", "foundation@tottenhamhotspur.com")</f>
        <v>foundation@tottenhamhotspur.com</v>
      </c>
      <c r="M93" t="inlineStr">
        <is>
          <t>020 8365 5138</t>
        </is>
      </c>
      <c r="N93" s="3">
        <v>46042</v>
      </c>
      <c r="O93" t="inlineStr">
        <is>
          <t>已联系未回复</t>
        </is>
      </c>
      <c r="P93"/>
      <c r="Q93" t="inlineStr">
        <is>
          <t>昆山文旅局英国法国团组,昆山文旅局-法国英国团组</t>
        </is>
      </c>
      <c r="R93"/>
      <c r="S93"/>
      <c r="T93"/>
    </row>
    <row r="94" ht="25.5" customHeight="1">
      <c r="A94" t="inlineStr">
        <is>
          <t>切尔西足球俱乐部/Chelsea FC</t>
        </is>
      </c>
      <c r="B94" t="inlineStr">
        <is>
          <t>英国</t>
        </is>
      </c>
      <c r="C94" t="inlineStr">
        <is>
          <t>伦敦</t>
        </is>
      </c>
      <c r="D94" t="inlineStr">
        <is>
          <t>职业俱乐部</t>
        </is>
      </c>
      <c r="E94" t="inlineStr">
        <is>
          <t>体育</t>
        </is>
      </c>
      <c r="F94"/>
      <c r="G94" s="2" t="str">
        <f>=HYPERLINK("http://chelseafc.com", "chelseafc.com")</f>
        <v>chelseafc.com</v>
      </c>
      <c r="H94"/>
      <c r="I94"/>
      <c r="J94"/>
      <c r="K94"/>
      <c r="L94" s="2"/>
      <c r="M94"/>
      <c r="N94" s="3"/>
      <c r="O94"/>
      <c r="P94"/>
      <c r="Q94" t="inlineStr">
        <is>
          <t>昆山文旅局英国法国团组</t>
        </is>
      </c>
      <c r="R94"/>
      <c r="S94"/>
      <c r="T94"/>
    </row>
    <row r="95" ht="25.5" customHeight="1">
      <c r="A95" t="inlineStr">
        <is>
          <t>西汉姆联足球俱乐部/West Ham United FC</t>
        </is>
      </c>
      <c r="B95" t="inlineStr">
        <is>
          <t>英国</t>
        </is>
      </c>
      <c r="C95" t="inlineStr">
        <is>
          <t>伦敦</t>
        </is>
      </c>
      <c r="D95" t="inlineStr">
        <is>
          <t>职业俱乐部</t>
        </is>
      </c>
      <c r="E95" t="inlineStr">
        <is>
          <t>体育</t>
        </is>
      </c>
      <c r="F95" t="inlineStr">
        <is>
          <t>伦敦体育场，伊丽莎白女王奥林匹克公园，伦敦，E20 2ST</t>
        </is>
      </c>
      <c r="G95" s="2" t="str">
        <f>=HYPERLINK("https://www.whufc.com/en", "https://www.whufc.com/en")</f>
        <v>https://www.whufc.com/en</v>
      </c>
      <c r="H95" t="inlineStr">
        <is>
          <t>拥有“足球学院”美誉的西汉姆联青训，是英格兰最负盛名的青训营之一，以培养坚韧、富有竞争精神的球员而闻名，传奇的“铁锤帮”精神从这里传承，兰帕德、乔·科尔、赖斯等均出身于此。</t>
        </is>
      </c>
      <c r="I95"/>
      <c r="J95"/>
      <c r="K95"/>
      <c r="L95" s="2" t="str">
        <f>=HYPERLINK("mailto:accessibility@westhamunited.co.uk", "accessibility@westhamunited.co.uk")</f>
        <v>accessibility@westhamunited.co.uk</v>
      </c>
      <c r="M95" t="inlineStr">
        <is>
          <t>+44 (0) 333 030 0174</t>
        </is>
      </c>
      <c r="N95" s="3">
        <v>46042</v>
      </c>
      <c r="O95" t="inlineStr">
        <is>
          <t>已联系未回复</t>
        </is>
      </c>
      <c r="P95"/>
      <c r="Q95" t="inlineStr">
        <is>
          <t>昆山文旅局英国法国团组,昆山文旅局-法国英国团组</t>
        </is>
      </c>
      <c r="R95"/>
      <c r="S95"/>
      <c r="T95"/>
    </row>
    <row r="96" ht="25.5" customHeight="1">
      <c r="A96" t="inlineStr">
        <is>
          <t>富勒姆足球俱乐部青训营/Fulham FC Academy</t>
        </is>
      </c>
      <c r="B96" t="inlineStr">
        <is>
          <t>英国</t>
        </is>
      </c>
      <c r="C96" t="inlineStr">
        <is>
          <t>伦敦</t>
        </is>
      </c>
      <c r="D96" t="inlineStr">
        <is>
          <t>青训学院</t>
        </is>
      </c>
      <c r="E96" t="inlineStr">
        <is>
          <t>体育</t>
        </is>
      </c>
      <c r="F96" t="inlineStr">
        <is>
          <t>莫茨普尔公园
伦敦萨顿区
邮编：SM4 5HY
英格兰</t>
        </is>
      </c>
      <c r="G96" s="2" t="str">
        <f>=HYPERLINK("https://www.fulhamfc.com/", "https://www.fulhamfc.com/")</f>
        <v>https://www.fulhamfc.com/</v>
      </c>
      <c r="H96" t="inlineStr">
        <is>
          <t>富勒姆青训营位于伦敦西南部的莫茨普尔公园训练中心，素以培养技术细腻、球商高的球员著称，其“足球学院”长期在英格兰青年联赛中保持竞争力，并为一线队持续输送本土人才。</t>
        </is>
      </c>
      <c r="I96"/>
      <c r="J96"/>
      <c r="K96"/>
      <c r="L96" s="2" t="str">
        <f>=HYPERLINK("mailto:enquiries@fulhamfc.com", "enquiries@fulhamfc.com")</f>
        <v>enquiries@fulhamfc.com</v>
      </c>
      <c r="M96" t="inlineStr">
        <is>
          <t>0343 208 1222</t>
        </is>
      </c>
      <c r="N96" s="3">
        <v>46042</v>
      </c>
      <c r="O96" t="inlineStr">
        <is>
          <t>已联系未回复</t>
        </is>
      </c>
      <c r="P96"/>
      <c r="Q96" t="inlineStr">
        <is>
          <t>昆山文旅局英国法国团组,昆山文旅局-法国英国团组</t>
        </is>
      </c>
      <c r="R96"/>
      <c r="S96"/>
      <c r="T96"/>
    </row>
    <row r="97" ht="25.5" customHeight="1">
      <c r="A97" t="inlineStr">
        <is>
          <t>水晶宫足球俱乐部青训营/Crystal Palace FC Academy</t>
        </is>
      </c>
      <c r="B97" t="inlineStr">
        <is>
          <t>英国</t>
        </is>
      </c>
      <c r="C97" t="inlineStr">
        <is>
          <t>伦敦</t>
        </is>
      </c>
      <c r="D97" t="inlineStr">
        <is>
          <t>青训学院</t>
        </is>
      </c>
      <c r="E97" t="inlineStr">
        <is>
          <t>体育</t>
        </is>
      </c>
      <c r="F97" t="inlineStr">
        <is>
          <t>科帕姆路
伦敦克罗伊登区
邮编：SE25 5PU
英格兰</t>
        </is>
      </c>
      <c r="G97" s="2" t="str">
        <f>=HYPERLINK("https://www.cpfc.co.uk/", "https://www.cpfc.co.uk/")</f>
        <v>https://www.cpfc.co.uk/</v>
      </c>
      <c r="H97" t="inlineStr">
        <is>
          <t>水晶宫青训营扎根于伦敦东南部的克罗伊登，其训练基地紧邻塞尔赫斯特公园球场，以发掘和培养身体天赋出众、速度快的年轻球员而闻名，是南伦敦重要的足球人才摇篮。</t>
        </is>
      </c>
      <c r="I97"/>
      <c r="J97"/>
      <c r="K97"/>
      <c r="L97" s="2" t="str">
        <f>=HYPERLINK("mailto:customer.service@cpfc.co.uk", "customer.service@cpfc.co.uk")</f>
        <v>customer.service@cpfc.co.uk</v>
      </c>
      <c r="M97" t="inlineStr">
        <is>
          <t>020 8768 6000</t>
        </is>
      </c>
      <c r="N97" s="3">
        <v>46042</v>
      </c>
      <c r="O97" t="inlineStr">
        <is>
          <t>已联系未回复</t>
        </is>
      </c>
      <c r="P97"/>
      <c r="Q97" t="inlineStr">
        <is>
          <t>昆山文旅局英国法国团组,昆山文旅局-法国英国团组</t>
        </is>
      </c>
      <c r="R97"/>
      <c r="S97"/>
      <c r="T97"/>
    </row>
    <row r="98" ht="25.5" customHeight="1">
      <c r="A98" t="inlineStr">
        <is>
          <t>国际足球学院/International Academy of Football</t>
        </is>
      </c>
      <c r="B98" t="inlineStr">
        <is>
          <t>英国</t>
        </is>
      </c>
      <c r="C98" t="inlineStr">
        <is>
          <t>伦敦</t>
        </is>
      </c>
      <c r="D98" t="inlineStr">
        <is>
          <t>足球学校</t>
        </is>
      </c>
      <c r="E98" t="inlineStr">
        <is>
          <t>体育</t>
        </is>
      </c>
      <c r="F98"/>
      <c r="G98" s="2" t="str">
        <f>=HYPERLINK("http://internationalacademyfootball.com", "internationalacademyfootball.com")</f>
        <v>internationalacademyfootball.com</v>
      </c>
      <c r="H98"/>
      <c r="I98"/>
      <c r="J98"/>
      <c r="K98"/>
      <c r="L98" s="2" t="str">
        <f>=HYPERLINK("mailto:info@internationalacademyfootball.com%EF%BC%9B+44%207503%20635955", "info@internationalacademyfootball.com；+44 7503 635955")</f>
        <v>info@internationalacademyfootball.com；+44 7503 635955</v>
      </c>
      <c r="M98"/>
      <c r="N98" s="3"/>
      <c r="O98"/>
      <c r="P98"/>
      <c r="Q98" t="inlineStr">
        <is>
          <t>昆山文旅局英国法国团组</t>
        </is>
      </c>
      <c r="R98"/>
      <c r="S98"/>
      <c r="T98"/>
    </row>
    <row r="99" ht="25.5" customHeight="1">
      <c r="A99" t="inlineStr">
        <is>
          <t>泰坦足球学院/Titans Football Academy</t>
        </is>
      </c>
      <c r="B99" t="inlineStr">
        <is>
          <t>英国</t>
        </is>
      </c>
      <c r="C99" t="inlineStr">
        <is>
          <t>伦敦</t>
        </is>
      </c>
      <c r="D99" t="inlineStr">
        <is>
          <t>足球学校</t>
        </is>
      </c>
      <c r="E99" t="inlineStr">
        <is>
          <t>体育</t>
        </is>
      </c>
      <c r="F99"/>
      <c r="G99" s="2" t="str">
        <f>=HYPERLINK("http://thetitansfa.com", "thetitansfa.com")</f>
        <v>thetitansfa.com</v>
      </c>
      <c r="H99"/>
      <c r="I99"/>
      <c r="J99"/>
      <c r="K99"/>
      <c r="L99" s="2" t="str">
        <f>=HYPERLINK("mailto:info@thetitansfa.com%EF%BC%9B020%203984%208514", "info@thetitansfa.com；020 3984 8514")</f>
        <v>info@thetitansfa.com；020 3984 8514</v>
      </c>
      <c r="M99"/>
      <c r="N99" s="3"/>
      <c r="O99"/>
      <c r="P99"/>
      <c r="Q99" t="inlineStr">
        <is>
          <t>昆山文旅局英国法国团组</t>
        </is>
      </c>
      <c r="R99"/>
      <c r="S99"/>
      <c r="T99"/>
    </row>
    <row r="100" ht="25.5" customHeight="1">
      <c r="A100" t="inlineStr">
        <is>
          <t>伦敦足球学院/London Football Academy</t>
        </is>
      </c>
      <c r="B100" t="inlineStr">
        <is>
          <t>英国</t>
        </is>
      </c>
      <c r="C100" t="inlineStr">
        <is>
          <t>伦敦</t>
        </is>
      </c>
      <c r="D100" t="inlineStr">
        <is>
          <t>足球学校</t>
        </is>
      </c>
      <c r="E100" t="inlineStr">
        <is>
          <t>体育</t>
        </is>
      </c>
      <c r="F100" t="inlineStr">
        <is>
          <t>运动场，亚历山德拉公园，伦敦 N22 7AX</t>
        </is>
      </c>
      <c r="G100" s="2" t="str">
        <f>=HYPERLINK("https://www.londonfootballacademy.co.uk/", "https://www.londonfootballacademy.co.uk/")</f>
        <v>https://www.londonfootballacademy.co.uk/</v>
      </c>
      <c r="H100" t="inlineStr">
        <is>
          <t>作为一所独立的精英足球学院，伦敦足球学院通常与职业俱乐部合作，为16-19岁的青少年提供结合高水平足球训练与学术教育的课程，旨在帮助学员进入职业足球或大学体系。</t>
        </is>
      </c>
      <c r="I100"/>
      <c r="J100"/>
      <c r="K100"/>
      <c r="L100" s="2" t="str">
        <f>=HYPERLINK("mailto:info@londonfootballacademy.co.uk%EF%BC%9B020%208374%201344", "info@londonfootballacademy.co.uk；020 8374 1344")</f>
        <v>info@londonfootballacademy.co.uk；020 8374 1344</v>
      </c>
      <c r="M100" t="inlineStr">
        <is>
          <t>020 8374 1344</t>
        </is>
      </c>
      <c r="N100" s="3">
        <v>46042</v>
      </c>
      <c r="O100" t="inlineStr">
        <is>
          <t>已联系未回复</t>
        </is>
      </c>
      <c r="P100"/>
      <c r="Q100" t="inlineStr">
        <is>
          <t>昆山文旅局英国法国团组,昆山文旅局-法国英国团组</t>
        </is>
      </c>
      <c r="R100"/>
      <c r="S100"/>
      <c r="T100"/>
    </row>
    <row r="101" ht="25.5" customHeight="1">
      <c r="A101" t="inlineStr">
        <is>
          <t>老鹰足球俱乐部青训营/Eagles FC Academy</t>
        </is>
      </c>
      <c r="B101" t="inlineStr">
        <is>
          <t>英国</t>
        </is>
      </c>
      <c r="C101" t="inlineStr">
        <is>
          <t>伦敦</t>
        </is>
      </c>
      <c r="D101" t="inlineStr">
        <is>
          <t>足球学校</t>
        </is>
      </c>
      <c r="E101" t="inlineStr">
        <is>
          <t>体育</t>
        </is>
      </c>
      <c r="F101"/>
      <c r="G101" s="2" t="str">
        <f>=HYPERLINK("http://eaglesfcacademy.com", "eaglesfcacademy.com")</f>
        <v>eaglesfcacademy.com</v>
      </c>
      <c r="H101"/>
      <c r="I101"/>
      <c r="J101"/>
      <c r="K101"/>
      <c r="L101" s="2" t="str">
        <f>=HYPERLINK("mailto:contact@eaglesfcacademy.com%EF%BC%9B07581%20066557", "contact@eaglesfcacademy.com；07581 066557")</f>
        <v>contact@eaglesfcacademy.com；07581 066557</v>
      </c>
      <c r="M101"/>
      <c r="N101" s="3"/>
      <c r="O101"/>
      <c r="P101"/>
      <c r="Q101" t="inlineStr">
        <is>
          <t>昆山文旅局英国法国团组</t>
        </is>
      </c>
      <c r="R101"/>
      <c r="S101"/>
      <c r="T101"/>
    </row>
    <row r="102" ht="25.5" customHeight="1">
      <c r="A102" t="inlineStr">
        <is>
          <t>动力基金会/Kinetic Foundation</t>
        </is>
      </c>
      <c r="B102" t="inlineStr">
        <is>
          <t>英国</t>
        </is>
      </c>
      <c r="C102" t="inlineStr">
        <is>
          <t>伦敦</t>
        </is>
      </c>
      <c r="D102" t="inlineStr">
        <is>
          <t>足球慈善青训机构</t>
        </is>
      </c>
      <c r="E102" t="inlineStr">
        <is>
          <t>体育</t>
        </is>
      </c>
      <c r="F102"/>
      <c r="G102" s="2" t="str">
        <f>=HYPERLINK("http://kinetic-foundation.org.uk", "kinetic-foundation.org.uk")</f>
        <v>kinetic-foundation.org.uk</v>
      </c>
      <c r="H102"/>
      <c r="I102"/>
      <c r="J102"/>
      <c r="K102"/>
      <c r="L102" s="2" t="str">
        <f>=HYPERLINK("http://info@kinetic-foundation.org.uk", "info@kinetic-foundation.org.uk")</f>
        <v>info@kinetic-foundation.org.uk</v>
      </c>
      <c r="M102"/>
      <c r="N102" s="3"/>
      <c r="O102"/>
      <c r="P102"/>
      <c r="Q102" t="inlineStr">
        <is>
          <t>昆山文旅局英国法国团组</t>
        </is>
      </c>
      <c r="R102"/>
      <c r="S102"/>
      <c r="T102"/>
    </row>
    <row r="103" ht="25.5" customHeight="1">
      <c r="A103" t="inlineStr">
        <is>
          <t>精英伦敦足球学院/Elite London Academy FC</t>
        </is>
      </c>
      <c r="B103" t="inlineStr">
        <is>
          <t>英国</t>
        </is>
      </c>
      <c r="C103" t="inlineStr">
        <is>
          <t>伦敦</t>
        </is>
      </c>
      <c r="D103" t="inlineStr">
        <is>
          <t>足球学校</t>
        </is>
      </c>
      <c r="E103" t="inlineStr">
        <is>
          <t>体育</t>
        </is>
      </c>
      <c r="F103"/>
      <c r="G103" s="2" t="str">
        <f>=HYPERLINK("https://eliteldnacademy.co.uk/samy-balal/", "https://eliteldnacademy.co.uk/samy-balal/")</f>
        <v>https://eliteldnacademy.co.uk/samy-balal/</v>
      </c>
      <c r="H103"/>
      <c r="I103"/>
      <c r="J103"/>
      <c r="K103"/>
      <c r="L103" s="2" t="str">
        <f>=HYPERLINK("mailto:elitelondonacademywest@gmail.com", "elitelondonacademywest@gmail.com")</f>
        <v>elitelondonacademywest@gmail.com</v>
      </c>
      <c r="M103"/>
      <c r="N103" s="3"/>
      <c r="O103"/>
      <c r="P103"/>
      <c r="Q103" t="inlineStr">
        <is>
          <t>昆山文旅局英国法国团组</t>
        </is>
      </c>
      <c r="R103"/>
      <c r="S103"/>
      <c r="T103"/>
    </row>
    <row r="104" ht="25.5" customHeight="1">
      <c r="A104" t="inlineStr">
        <is>
          <t>切尔西足球俱乐部青训营 /Chelsea FC Academy</t>
        </is>
      </c>
      <c r="B104" t="inlineStr">
        <is>
          <t>英国</t>
        </is>
      </c>
      <c r="C104" t="inlineStr">
        <is>
          <t>伦敦</t>
        </is>
      </c>
      <c r="D104" t="inlineStr">
        <is>
          <t>职业俱乐部/青训</t>
        </is>
      </c>
      <c r="E104" t="inlineStr">
        <is>
          <t>体育</t>
        </is>
      </c>
      <c r="F104" t="inlineStr">
        <is>
          <t>斯坦福桥，富勒姆路，伦敦SW6 1HS</t>
        </is>
      </c>
      <c r="G104" s="2" t="str">
        <f>=HYPERLINK("https://www.chelseafc.com/en", "https://www.chelseafc.com/en")</f>
        <v>https://www.chelseafc.com/en</v>
      </c>
      <c r="H104" t="inlineStr">
        <is>
          <t>切尔西青训营以其世界顶级的青年培养设施和“科巴姆”训练基地而闻名，近年来成功培育出芒特、里斯·詹姆斯、加拉格尔等众多英格兰国脚，其培养模式强调技术结合身体素质，并通过广泛的租借体系为球员提供实战经验。</t>
        </is>
      </c>
      <c r="I104"/>
      <c r="J104"/>
      <c r="K104"/>
      <c r="L104" s="2" t="str">
        <f>=HYPERLINK("http://在线联系表格：https://www.chelseafc.com/en/contact-us-by-email", "在线联系表格：https://www.chelseafc.com/en/contact-us-by-email")</f>
        <v>在线联系表格：https://www.chelseafc.com/en/contact-us-by-email</v>
      </c>
      <c r="M104"/>
      <c r="N104" s="3">
        <v>46042</v>
      </c>
      <c r="O104" t="inlineStr">
        <is>
          <t>已联系已回复</t>
        </is>
      </c>
      <c r="P104" t="inlineStr">
        <is>
          <t>表示本次事件太紧急，没有办法安排国际代表团的接待</t>
        </is>
      </c>
      <c r="Q104" t="inlineStr">
        <is>
          <t>昆山文旅局英国法国团组,昆山文旅局-法国英国团组</t>
        </is>
      </c>
      <c r="R104"/>
      <c r="S104" t="inlineStr">
        <is>
          <t>合作方向：
1. 高端足球青训体系考察与短期研修：组织中国足协、职业俱乐部、体育院校的专业因公出访团组，赴切尔西青训基地进行短期、非介入式的深度观摩与学术交流，学习其 “精英球员选拔、多学科协同培养、运动科学应用、人才输送体系” 的顶层设计与运营理念。
2. 教练员高级资格认证培训：探讨引进由切尔西官方认证、由其资深教练主导的 “精英青少年足球教练员高级课程” ，在中国举办短期高强度培训，系统传授其训练哲学与方法论。
3. 青少年足球技术夏令营/选拔营：在切尔西官方指导与监督下，于中国合作城市举办以“切尔西足球方法论”为主题的暑期技术训练营，并由其派遣核心教练团队进行短期执教与选拔评估。
4. 战略合作伙伴关系探索（高门槛）：如中方合作方具备极强的资金实力、清晰的长期规划（需提交三年商业计划书）及顶级的本地资源，可探讨建立非品牌特许的深度战略合作，内容可能涉及 “共建区域性精英足球学院、联合科研项目（如运动表现分析）、定制化教练员持续培养体系” 等。
合作领域：
核心领域：精英青少年足球运动员培养体系、职业足球教练员教育、运动科学与表现分析、足球人才识别与发展模型。
特色领域：足球俱乐部青训营运营与管理、足球教育心理学、青少年运动员文化教育与生涯规划。
合作特点：合作建立在 “非品牌特许、高质量输出、高成本投入” 的原则之上。切尔西不对外授权品牌，只输出核心方法论与专业人才，且要求合作方承担全部落地成本并证明长期战略价值，门槛极高。</t>
        </is>
      </c>
      <c r="T104"/>
    </row>
    <row r="105" ht="25.5" customHeight="1">
      <c r="A105" t="inlineStr">
        <is>
          <t>南安普顿/Southampton</t>
        </is>
      </c>
      <c r="B105" t="inlineStr">
        <is>
          <t>英国</t>
        </is>
      </c>
      <c r="C105" t="inlineStr">
        <is>
          <t>伦敦</t>
        </is>
      </c>
      <c r="D105" t="inlineStr">
        <is>
          <t>职业俱乐部/青训</t>
        </is>
      </c>
      <c r="E105" t="inlineStr">
        <is>
          <t>体育</t>
        </is>
      </c>
      <c r="F105"/>
      <c r="G105" s="2"/>
      <c r="H105"/>
      <c r="I105"/>
      <c r="J105"/>
      <c r="K105"/>
      <c r="L105" s="2"/>
      <c r="M105"/>
      <c r="N105" s="3"/>
      <c r="O105"/>
      <c r="P105"/>
      <c r="Q105" t="inlineStr">
        <is>
          <t>昆山文旅局英国法国团组</t>
        </is>
      </c>
      <c r="R105"/>
      <c r="S105"/>
      <c r="T105"/>
    </row>
    <row r="106" ht="25.5" customHeight="1">
      <c r="A106" t="inlineStr">
        <is>
          <t>曼城/Man City</t>
        </is>
      </c>
      <c r="B106" t="inlineStr">
        <is>
          <t>英国</t>
        </is>
      </c>
      <c r="C106" t="inlineStr">
        <is>
          <t>伦敦</t>
        </is>
      </c>
      <c r="D106" t="inlineStr">
        <is>
          <t>职业俱乐部/青训</t>
        </is>
      </c>
      <c r="E106" t="inlineStr">
        <is>
          <t>体育</t>
        </is>
      </c>
      <c r="F106"/>
      <c r="G106" s="2"/>
      <c r="H106"/>
      <c r="I106"/>
      <c r="J106"/>
      <c r="K106"/>
      <c r="L106" s="2"/>
      <c r="M106"/>
      <c r="N106" s="3"/>
      <c r="O106"/>
      <c r="P106"/>
      <c r="Q106" t="inlineStr">
        <is>
          <t>昆山文旅局英国法国团组</t>
        </is>
      </c>
      <c r="R106"/>
      <c r="S106"/>
      <c r="T106"/>
    </row>
    <row r="107" ht="25.5" customHeight="1">
      <c r="A107" t="inlineStr">
        <is>
          <t xml:space="preserve">阿森纳/Arsenal </t>
        </is>
      </c>
      <c r="B107" t="inlineStr">
        <is>
          <t>英国</t>
        </is>
      </c>
      <c r="C107" t="inlineStr">
        <is>
          <t>伦敦</t>
        </is>
      </c>
      <c r="D107" t="inlineStr">
        <is>
          <t>职业俱乐部/青训</t>
        </is>
      </c>
      <c r="E107" t="inlineStr">
        <is>
          <t>体育</t>
        </is>
      </c>
      <c r="F107"/>
      <c r="G107" s="2"/>
      <c r="H107"/>
      <c r="I107"/>
      <c r="J107"/>
      <c r="K107"/>
      <c r="L107" s="2"/>
      <c r="M107"/>
      <c r="N107" s="3"/>
      <c r="O107"/>
      <c r="P107"/>
      <c r="Q107" t="inlineStr">
        <is>
          <t>昆山文旅局英国法国团组</t>
        </is>
      </c>
      <c r="R107"/>
      <c r="S107"/>
      <c r="T107"/>
    </row>
    <row r="108" ht="25.5" customHeight="1">
      <c r="A108" t="inlineStr">
        <is>
          <t>诺里奇/Norwich</t>
        </is>
      </c>
      <c r="B108" t="inlineStr">
        <is>
          <t>英国</t>
        </is>
      </c>
      <c r="C108" t="inlineStr">
        <is>
          <t>伦敦</t>
        </is>
      </c>
      <c r="D108" t="inlineStr">
        <is>
          <t>职业俱乐部/青训</t>
        </is>
      </c>
      <c r="E108" t="inlineStr">
        <is>
          <t>体育</t>
        </is>
      </c>
      <c r="F108"/>
      <c r="G108" s="2"/>
      <c r="H108"/>
      <c r="I108"/>
      <c r="J108"/>
      <c r="K108"/>
      <c r="L108" s="2"/>
      <c r="M108"/>
      <c r="N108" s="3"/>
      <c r="O108"/>
      <c r="P108"/>
      <c r="Q108" t="inlineStr">
        <is>
          <t>昆山文旅局英国法国团组</t>
        </is>
      </c>
      <c r="R108"/>
      <c r="S108"/>
      <c r="T108"/>
    </row>
    <row r="109" ht="25.5" customHeight="1">
      <c r="A109" t="inlineStr">
        <is>
          <t xml:space="preserve">女王公园巡游者/Queen’s Park rangers </t>
        </is>
      </c>
      <c r="B109" t="inlineStr">
        <is>
          <t>英国</t>
        </is>
      </c>
      <c r="C109" t="inlineStr">
        <is>
          <t>伦敦</t>
        </is>
      </c>
      <c r="D109" t="inlineStr">
        <is>
          <t>职业俱乐部/青训</t>
        </is>
      </c>
      <c r="E109" t="inlineStr">
        <is>
          <t>体育</t>
        </is>
      </c>
      <c r="F109"/>
      <c r="G109" s="2"/>
      <c r="H109"/>
      <c r="I109"/>
      <c r="J109"/>
      <c r="K109"/>
      <c r="L109" s="2"/>
      <c r="M109"/>
      <c r="N109" s="3"/>
      <c r="O109"/>
      <c r="P109"/>
      <c r="Q109" t="inlineStr">
        <is>
          <t>昆山文旅局英国法国团组</t>
        </is>
      </c>
      <c r="R109"/>
      <c r="S109"/>
      <c r="T109"/>
    </row>
    <row r="110" ht="25.5" customHeight="1">
      <c r="A110" t="inlineStr">
        <is>
          <t xml:space="preserve">米德尔斯堡/Middlesbrough </t>
        </is>
      </c>
      <c r="B110" t="inlineStr">
        <is>
          <t>英国</t>
        </is>
      </c>
      <c r="C110" t="inlineStr">
        <is>
          <t>伦敦</t>
        </is>
      </c>
      <c r="D110" t="inlineStr">
        <is>
          <t>职业俱乐部/青训</t>
        </is>
      </c>
      <c r="E110" t="inlineStr">
        <is>
          <t>体育</t>
        </is>
      </c>
      <c r="F110"/>
      <c r="G110" s="2"/>
      <c r="H110"/>
      <c r="I110"/>
      <c r="J110"/>
      <c r="K110"/>
      <c r="L110" s="2"/>
      <c r="M110"/>
      <c r="N110" s="3"/>
      <c r="O110"/>
      <c r="P110"/>
      <c r="Q110" t="inlineStr">
        <is>
          <t>昆山文旅局英国法国团组</t>
        </is>
      </c>
      <c r="R110"/>
      <c r="S110"/>
      <c r="T110"/>
    </row>
    <row r="111" ht="25.5" customHeight="1">
      <c r="A111" t="inlineStr">
        <is>
          <t xml:space="preserve">斯旺西/Swansea </t>
        </is>
      </c>
      <c r="B111" t="inlineStr">
        <is>
          <t>英国</t>
        </is>
      </c>
      <c r="C111" t="inlineStr">
        <is>
          <t>伦敦</t>
        </is>
      </c>
      <c r="D111" t="inlineStr">
        <is>
          <t>职业俱乐部/青训</t>
        </is>
      </c>
      <c r="E111" t="inlineStr">
        <is>
          <t>体育</t>
        </is>
      </c>
      <c r="F111"/>
      <c r="G111" s="2"/>
      <c r="H111"/>
      <c r="I111"/>
      <c r="J111"/>
      <c r="K111"/>
      <c r="L111" s="2"/>
      <c r="M111"/>
      <c r="N111" s="3"/>
      <c r="O111"/>
      <c r="P111"/>
      <c r="Q111" t="inlineStr">
        <is>
          <t>昆山文旅局英国法国团组</t>
        </is>
      </c>
      <c r="R111"/>
      <c r="S111"/>
      <c r="T111"/>
    </row>
    <row r="112" ht="25.5" customHeight="1">
      <c r="A112" t="inlineStr">
        <is>
          <t xml:space="preserve">查尔顿/Charlton </t>
        </is>
      </c>
      <c r="B112" t="inlineStr">
        <is>
          <t>英国</t>
        </is>
      </c>
      <c r="C112" t="inlineStr">
        <is>
          <t>伦敦</t>
        </is>
      </c>
      <c r="D112" t="inlineStr">
        <is>
          <t>职业俱乐部/青训</t>
        </is>
      </c>
      <c r="E112" t="inlineStr">
        <is>
          <t>体育</t>
        </is>
      </c>
      <c r="F112"/>
      <c r="G112" s="2"/>
      <c r="H112"/>
      <c r="I112"/>
      <c r="J112"/>
      <c r="K112"/>
      <c r="L112" s="2"/>
      <c r="M112"/>
      <c r="N112" s="3"/>
      <c r="O112"/>
      <c r="P112"/>
      <c r="Q112" t="inlineStr">
        <is>
          <t>昆山文旅局英国法国团组</t>
        </is>
      </c>
      <c r="R112"/>
      <c r="S112"/>
      <c r="T112"/>
    </row>
    <row r="113" ht="25.5" customHeight="1">
      <c r="A113" t="inlineStr">
        <is>
          <t xml:space="preserve">伊普斯威奇/Ipswich </t>
        </is>
      </c>
      <c r="B113" t="inlineStr">
        <is>
          <t>英国</t>
        </is>
      </c>
      <c r="C113" t="inlineStr">
        <is>
          <t>伦敦</t>
        </is>
      </c>
      <c r="D113" t="inlineStr">
        <is>
          <t>职业俱乐部/青训</t>
        </is>
      </c>
      <c r="E113" t="inlineStr">
        <is>
          <t>体育</t>
        </is>
      </c>
      <c r="F113"/>
      <c r="G113" s="2"/>
      <c r="H113"/>
      <c r="I113"/>
      <c r="J113"/>
      <c r="K113"/>
      <c r="L113" s="2"/>
      <c r="M113"/>
      <c r="N113" s="3"/>
      <c r="O113"/>
      <c r="P113"/>
      <c r="Q113" t="inlineStr">
        <is>
          <t>昆山文旅局英国法国团组</t>
        </is>
      </c>
      <c r="R113"/>
      <c r="S113"/>
      <c r="T113"/>
    </row>
    <row r="114" ht="25.5" customHeight="1">
      <c r="A114" t="inlineStr">
        <is>
          <t xml:space="preserve">克鲁·亚历山大/Crewe Alexandra </t>
        </is>
      </c>
      <c r="B114" t="inlineStr">
        <is>
          <t>英国</t>
        </is>
      </c>
      <c r="C114" t="inlineStr">
        <is>
          <t>伦敦</t>
        </is>
      </c>
      <c r="D114" t="inlineStr">
        <is>
          <t>职业俱乐部/青训</t>
        </is>
      </c>
      <c r="E114" t="inlineStr">
        <is>
          <t>体育</t>
        </is>
      </c>
      <c r="F114"/>
      <c r="G114" s="2"/>
      <c r="H114"/>
      <c r="I114"/>
      <c r="J114"/>
      <c r="K114"/>
      <c r="L114" s="2"/>
      <c r="M114"/>
      <c r="N114" s="3"/>
      <c r="O114"/>
      <c r="P114"/>
      <c r="Q114" t="inlineStr">
        <is>
          <t>昆山文旅局英国法国团组</t>
        </is>
      </c>
      <c r="R114"/>
      <c r="S114"/>
      <c r="T114"/>
    </row>
    <row r="115" ht="25.5" customHeight="1">
      <c r="A115" t="inlineStr">
        <is>
          <t>DBS体育学院/DBS sport academy</t>
        </is>
      </c>
      <c r="B115" t="inlineStr">
        <is>
          <t>爱尔兰</t>
        </is>
      </c>
      <c r="C115" t="inlineStr">
        <is>
          <t>柏林</t>
        </is>
      </c>
      <c r="D115" t="inlineStr">
        <is>
          <t>足球学校</t>
        </is>
      </c>
      <c r="E115" t="inlineStr">
        <is>
          <t>体育</t>
        </is>
      </c>
      <c r="F115"/>
      <c r="G115" s="2"/>
      <c r="H115"/>
      <c r="I115"/>
      <c r="J115"/>
      <c r="K115"/>
      <c r="L115" s="2"/>
      <c r="M115"/>
      <c r="N115" s="3"/>
      <c r="O115" t="inlineStr">
        <is>
          <t>已联系已回复</t>
        </is>
      </c>
      <c r="P115"/>
      <c r="Q115" t="inlineStr">
        <is>
          <t>昆山文旅局英国法国团组</t>
        </is>
      </c>
      <c r="R115"/>
      <c r="S115" t="inlineStr">
        <is>
          <t>合作方向：
1. 体育教育考察与短期培训：组织因公出访团组（如体育局、体校、学校体育部门）赴学院进行短期访问，学习其青少年体育人才培养、运动训练体系及体教融合模式。
2. 教练员专业发展课程：引进学院成熟的教练员培训与认证体系，为中国体育教师、基层教练提供短期专项技能提升课程。
3. 青少年运动员交流与训练营：合作举办寒暑期体育训练营，选派中国青少年运动员参与，体验其科学训练方法与运动表现评估体系。
4. 运动科学与康复合作：探讨在青少年运动损伤预防、体能训练、运动营养等领域开展交流或联合开展实证研究项目。
合作领域：
核心领域：青少年体育训练、足球/篮球等专项培养、教练员教育。
特色领域：运动表现分析、体教融合实践、青少年体育心理学。
总结：与DBS体育学院的合作聚焦于 “青少年体育科学化训练与教练员专业化发展” ，适合国内体育系统、学校及培训机构引进国际先进的训练理念与方法，提升基层体育教育质量。</t>
        </is>
      </c>
      <c r="T115"/>
    </row>
    <row r="116" ht="25.5" customHeight="1">
      <c r="A116" t="inlineStr">
        <is>
          <t>TPA足球学院/TPA football Academy</t>
        </is>
      </c>
      <c r="B116" t="inlineStr">
        <is>
          <t>英国</t>
        </is>
      </c>
      <c r="C116" t="inlineStr">
        <is>
          <t>伦敦</t>
        </is>
      </c>
      <c r="D116" t="inlineStr">
        <is>
          <t>足球学校</t>
        </is>
      </c>
      <c r="E116" t="inlineStr">
        <is>
          <t>体育</t>
        </is>
      </c>
      <c r="F116"/>
      <c r="G116" s="2"/>
      <c r="H116"/>
      <c r="I116"/>
      <c r="J116"/>
      <c r="K116"/>
      <c r="L116" s="2"/>
      <c r="M116"/>
      <c r="N116" s="3"/>
      <c r="O116"/>
      <c r="P116"/>
      <c r="Q116" t="inlineStr">
        <is>
          <t>昆山文旅局英国法国团组</t>
        </is>
      </c>
      <c r="R116"/>
      <c r="S116"/>
      <c r="T116"/>
    </row>
    <row r="117" ht="25.5" customHeight="1">
      <c r="A117" t="inlineStr">
        <is>
          <t>德国工业与商会协会（DIHK）/ 工业与商会（IHK）Deutscher Industrie- und Handelskammertag (DIHK) / Industrie- und Handelskammer (IHK)</t>
        </is>
      </c>
      <c r="B117" t="inlineStr">
        <is>
          <t>德国</t>
        </is>
      </c>
      <c r="C117"/>
      <c r="D117" t="inlineStr">
        <is>
          <t>商协会</t>
        </is>
      </c>
      <c r="E117" t="inlineStr">
        <is>
          <t>商会</t>
        </is>
      </c>
      <c r="F117"/>
      <c r="G117" s="2"/>
      <c r="H117" t="inlineStr">
        <is>
          <t>德国工商会 (DIHK) 代表德国整个商业领域。其成员包括 79 个工商会 (IHK)，涵盖数百万家来自工业、贸易和服务业的企业，涵盖从售货亭业主到大型企业等各个领域。
DIHK在政治、行政和公共事务中代表这些企业。它在联邦和欧洲层面倡导商业领域发展，例如减少官僚主义、自由贸易和高速互联网。其目标是：为商业成功创造有利条件。</t>
        </is>
      </c>
      <c r="I117"/>
      <c r="J117"/>
      <c r="K117"/>
      <c r="L117" s="2"/>
      <c r="M117"/>
      <c r="N117" s="3"/>
      <c r="O117" t="inlineStr">
        <is>
          <t>已联系未回复</t>
        </is>
      </c>
      <c r="P117"/>
      <c r="Q117"/>
      <c r="R117"/>
      <c r="S117"/>
      <c r="T117"/>
    </row>
    <row r="118" ht="25.5" customHeight="1">
      <c r="A118" t="inlineStr">
        <is>
          <t>德国机械设备制造业协会/（VDMA）
Deutsch-Chinesische WirtschaftsvereVerband Deutscher Maschinen- und Anlagenbau (VDMA)</t>
        </is>
      </c>
      <c r="B118" t="inlineStr">
        <is>
          <t>德国</t>
        </is>
      </c>
      <c r="C118"/>
      <c r="D118" t="inlineStr">
        <is>
          <t>商协会</t>
        </is>
      </c>
      <c r="E118" t="inlineStr">
        <is>
          <t>商会</t>
        </is>
      </c>
      <c r="F118"/>
      <c r="G118" s="2"/>
      <c r="H118" t="inlineStr">
        <is>
          <t>德国机械设备制造业联合会 (VDMA) 代表着 3600 家德国和欧洲的机械和设备工程公司。该行业代表着创新、出口导向和中小企业。这些公司在欧盟 27 国雇佣了约 300 万人，其中仅在德国就雇佣了超过 120 万人。这使得机械和设备工程成为欧盟 27 国和德国资本货物行业中最大的就业行业。在欧盟，该行业的营业额估计高达 8700 亿欧元。欧盟销售的机械设备中约 80% 来自国内市场的制造工厂。</t>
        </is>
      </c>
      <c r="I118"/>
      <c r="J118"/>
      <c r="K118"/>
      <c r="L118" s="2"/>
      <c r="M118"/>
      <c r="N118" s="3"/>
      <c r="O118" t="inlineStr">
        <is>
          <t>已联系未回复</t>
        </is>
      </c>
      <c r="P118"/>
      <c r="Q118"/>
      <c r="R118"/>
      <c r="S118"/>
      <c r="T118"/>
    </row>
    <row r="119" ht="25.5" customHeight="1">
      <c r="A119" t="inlineStr">
        <is>
          <t>德中经济协会（DCW）/Deutsch-Chinesische Wirtschaftsvereinigung e.V. (DCW)</t>
        </is>
      </c>
      <c r="B119" t="inlineStr">
        <is>
          <t>德国</t>
        </is>
      </c>
      <c r="C119"/>
      <c r="D119" t="inlineStr">
        <is>
          <t>商协会</t>
        </is>
      </c>
      <c r="E119" t="inlineStr">
        <is>
          <t>商会</t>
        </is>
      </c>
      <c r="F119"/>
      <c r="G119" s="2"/>
      <c r="H119" t="inlineStr">
        <is>
          <t>自1987年以来，德中经济联合会（DCW）作为独立性、非营利性机构，一贯致力于促进中国和德国双边经贸合作。联合会为会员及合作伙伴提供广泛交流的可能性，以扩大双边的投资和贸易往来，为双方创造更好的合作环境。</t>
        </is>
      </c>
      <c r="I119"/>
      <c r="J119"/>
      <c r="K119"/>
      <c r="L119" s="2"/>
      <c r="M119"/>
      <c r="N119" s="3"/>
      <c r="O119" t="inlineStr">
        <is>
          <t>已联系已回复</t>
        </is>
      </c>
      <c r="P119"/>
      <c r="Q119"/>
      <c r="R119"/>
      <c r="S119"/>
      <c r="T119"/>
    </row>
    <row r="120" ht="25.5" customHeight="1">
      <c r="A120" t="inlineStr">
        <is>
          <t>巴伐利亚经济协会（vbw）/Vereinigung der Bayerischen Wirtschaft e.V. (vbw)</t>
        </is>
      </c>
      <c r="B120" t="inlineStr">
        <is>
          <t>德国</t>
        </is>
      </c>
      <c r="C120"/>
      <c r="D120" t="inlineStr">
        <is>
          <t>商协会</t>
        </is>
      </c>
      <c r="E120" t="inlineStr">
        <is>
          <t>商会</t>
        </is>
      </c>
      <c r="F120"/>
      <c r="G120" s="2"/>
      <c r="H120" t="inlineStr">
        <is>
          <t>巴伐利亚州经济的自愿、跨部门、核心利益团体，代表163个雇主和商业协会，以及52个支持成员。约有480万名需要缴纳社会保险费的员工在巴伐利亚州各地的vbw成员协会的行业中工作，占巴伐利亚州所有员工总数的近90%。
作为德国雇主协会联合会（BDA）和德国工业联合会（BDI）的州代表，我们也代表共同的经济、社会和社会政治利益。通过这种方式，我们在维护经济活动的自由的同时，也确保了社会的和平。</t>
        </is>
      </c>
      <c r="I120"/>
      <c r="J120"/>
      <c r="K120"/>
      <c r="L120" s="2"/>
      <c r="M120"/>
      <c r="N120" s="3"/>
      <c r="O120" t="inlineStr">
        <is>
          <t>已联系未回复</t>
        </is>
      </c>
      <c r="P120"/>
      <c r="Q120"/>
      <c r="R120"/>
      <c r="S120"/>
      <c r="T120"/>
    </row>
    <row r="121" ht="25.5" customHeight="1">
      <c r="A121" t="inlineStr">
        <is>
          <t>德国中小企业协会（BVMW）/Bundesverband mittelständische Wirtschaft (BVMW)</t>
        </is>
      </c>
      <c r="B121" t="inlineStr">
        <is>
          <t>德国</t>
        </is>
      </c>
      <c r="C121"/>
      <c r="D121" t="inlineStr">
        <is>
          <t>商协会</t>
        </is>
      </c>
      <c r="E121" t="inlineStr">
        <is>
          <t>商会</t>
        </is>
      </c>
      <c r="F121"/>
      <c r="G121" s="2"/>
      <c r="H121" t="inlineStr">
        <is>
          <t>BVMW 是一个政治独立的协会，服务于所有商业部门和行业，并在政治、行政部门、工会和大型企业中代表中小企业的利益。我们与 30 多个合作协会携手，代表超过 90 万个声音。
BVMW 管理着遍布 35 多个国家的代表处网络。此外，我们的协会与世界各地的许多国家级合作协会合作，并与众多协会签订了协议。
在这些合作中，BVMW 就共同项目进行了广泛而富有成效的知识交流，并定期组织有关外交事务的各种主题的国际会议。</t>
        </is>
      </c>
      <c r="I121"/>
      <c r="J121"/>
      <c r="K121"/>
      <c r="L121" s="2"/>
      <c r="M121"/>
      <c r="N121" s="3"/>
      <c r="O121" t="inlineStr">
        <is>
          <t>推进中</t>
        </is>
      </c>
      <c r="P121"/>
      <c r="Q121"/>
      <c r="R121"/>
      <c r="S121"/>
      <c r="T121"/>
    </row>
    <row r="122" ht="25.5" customHeight="1">
      <c r="A122" t="inlineStr">
        <is>
          <t>德国工业联合会（BDI）/Bundesverband der Deutschen Industrie（BDI）</t>
        </is>
      </c>
      <c r="B122" t="inlineStr">
        <is>
          <t>德国</t>
        </is>
      </c>
      <c r="C122"/>
      <c r="D122" t="inlineStr">
        <is>
          <t>商协会</t>
        </is>
      </c>
      <c r="E122" t="inlineStr">
        <is>
          <t>商会</t>
        </is>
      </c>
      <c r="F122"/>
      <c r="G122" s="2"/>
      <c r="H122" t="inlineStr">
        <is>
          <t>BDI是德国工业及工业相关服务提供商的伞状组织。它代表39个工业部门联合会，并在德国各联邦州设有15个地区办事处。BDI代表着超过10万家私营企业，雇佣了约800万名员工。
工业是德国经济的基础，在决定德国未来竞争力方面发挥着决定性作用。BDI向德国、欧洲乃至全球的政治代表传达德国工业的利益。</t>
        </is>
      </c>
      <c r="I122"/>
      <c r="J122"/>
      <c r="K122"/>
      <c r="L122" s="2"/>
      <c r="M122"/>
      <c r="N122" s="3"/>
      <c r="O122" t="inlineStr">
        <is>
          <t>推进中</t>
        </is>
      </c>
      <c r="P122"/>
      <c r="Q122"/>
      <c r="R122"/>
      <c r="S122"/>
      <c r="T122"/>
    </row>
    <row r="123" ht="25.5" customHeight="1">
      <c r="A123" t="inlineStr">
        <is>
          <t>德国贸易与投资局（GTAI）/Germany Trade &amp; Invest (GTAI)</t>
        </is>
      </c>
      <c r="B123" t="inlineStr">
        <is>
          <t>德国</t>
        </is>
      </c>
      <c r="C123"/>
      <c r="D123" t="inlineStr">
        <is>
          <t>商协会</t>
        </is>
      </c>
      <c r="E123" t="inlineStr">
        <is>
          <t>商会</t>
        </is>
      </c>
      <c r="F123"/>
      <c r="G123" s="2"/>
      <c r="H123" t="inlineStr">
        <is>
          <t>德国贸易与投资署是德意志联邦共和国的对外贸易和对内投资机构。德国贸易与投资署的使命是推广德国作为工业和技术投资地的地位，并为德国市场寻找投资者。该机构为希望在德国市场拓展业务的外国公司提供咨询服务。</t>
        </is>
      </c>
      <c r="I123"/>
      <c r="J123"/>
      <c r="K123"/>
      <c r="L123" s="2"/>
      <c r="M123"/>
      <c r="N123" s="3"/>
      <c r="O123" t="inlineStr">
        <is>
          <t>推进中</t>
        </is>
      </c>
      <c r="P123"/>
      <c r="Q123"/>
      <c r="R123"/>
      <c r="S123"/>
      <c r="T123"/>
    </row>
    <row r="124" ht="25.5" customHeight="1">
      <c r="A124" t="inlineStr">
        <is>
          <t>德国工商会（AHK）/AHK</t>
        </is>
      </c>
      <c r="B124" t="inlineStr">
        <is>
          <t>德国</t>
        </is>
      </c>
      <c r="C124"/>
      <c r="D124" t="inlineStr">
        <is>
          <t>商协会</t>
        </is>
      </c>
      <c r="E124" t="inlineStr">
        <is>
          <t>商会</t>
        </is>
      </c>
      <c r="F124"/>
      <c r="G124" s="2"/>
      <c r="H124" t="inlineStr">
        <is>
          <t>德国工商总会大中华区隶属于德国工商总会全球网络，其在大中华区的历史可追溯至1981年。德国工商总会大中华区在大中华区和德国设有五个总部和七个支持办事处，拥有超过130名专家，专注于两地之间的贸易和投资。我们为寻求在中国建立和拓展业务的德国企业提供咨询、支持和代理服务。
作为#PartnerForGrowth（增长伙伴），德国工商总会大中华区支持企业在中国市场蓬勃发展：通过专业的咨询和服务，帮助企业以盈利的方式进入中国市场，拓展业务范围，涵盖法律和税务、人力资源、公开招标和项目，以及作为展会业务的合作伙伴在东道国进行市场营销和传播。
我们致力于搭建桥梁，成为您的战略合作伙伴。我们将与您联系，探讨当前发展、挑战和趋势，探索协同效应和合作机遇：从中小企业到大型企业——目前我们拥有约2000名会员，是您在中国强大而可靠的合作伙伴。加入我们，您将找到一个平台，在这里您可以建立人脉、交流信息、参与活动，并在政界和关键人物面前发出强有力的声音。我们将竭诚为您提供支持，并以专业的态度与各利益相关方共同维护德国商界的利益。
良好的人脉关系往往对企业的成功至关重要。我们的会员公司也受益于我们遍布全球的专家网络，该网络由来自商界、机构、协会和组织以及政界的专家组成，覆盖大中华区、德国以及全球共计140个分支机构。</t>
        </is>
      </c>
      <c r="I124"/>
      <c r="J124"/>
      <c r="K124"/>
      <c r="L124" s="2"/>
      <c r="M124"/>
      <c r="N124" s="3"/>
      <c r="O124" t="inlineStr">
        <is>
          <t>已联系已回复</t>
        </is>
      </c>
      <c r="P124"/>
      <c r="Q124"/>
      <c r="R124"/>
      <c r="S124" t="inlineStr">
        <is>
          <t>合作方向：
1. 政策对话与精准招商：组织因公出访团组与AHK进行产业政策交流，并借助其企业网络，为地方对接德资及技术合作项目。
2. 双元制职业教育本土化：引进德国职业标准、课程及师资认证体系，合作在华建立高素质技能人才培养基地。
3. 市场拓展与合规支持：通过AHK获取欧盟行业报告、技术法规与市场准入指导，协助中国企业合规进入欧洲市场。
4. 专业活动与网络共建：共同举办中德产业论坛、展会或商务考察，拓展双边企业合作渠道。
合作领域：
核心领域：高端装备制造、汽车工业、工业自动化与数字化。
特色领域：绿色环保技术、职业教育培训、中小企业创新合作。</t>
        </is>
      </c>
      <c r="T124"/>
    </row>
    <row r="125" ht="25.5" customHeight="1">
      <c r="A125" t="inlineStr">
        <is>
          <t>百汇医疗/Parkway Healthcare</t>
        </is>
      </c>
      <c r="B125" t="inlineStr">
        <is>
          <t>中国</t>
        </is>
      </c>
      <c r="C125" t="inlineStr">
        <is>
          <t>上海</t>
        </is>
      </c>
      <c r="D125" t="inlineStr">
        <is>
          <t>医院</t>
        </is>
      </c>
      <c r="E125" t="inlineStr">
        <is>
          <t>医疗行业</t>
        </is>
      </c>
      <c r="F125"/>
      <c r="G125" s="2" t="str">
        <f>=HYPERLINK("https://www.parkwaychina.com/", "https://www.parkwaychina.com/")</f>
        <v>https://www.parkwaychina.com/</v>
      </c>
      <c r="H125" t="inlineStr">
        <is>
          <t xml:space="preserve">  百汇医疗 Parkway (ParkwayHealth)：隶属于 IHH Healthcare 的高端医疗品牌，在中国运营多家国际门诊与医院（如上海百汇-鹰阁医院），以家庭医学、专科诊疗与体检为主，为外籍与本地患者提供英文服务。</t>
        </is>
      </c>
      <c r="I125"/>
      <c r="J125"/>
      <c r="K125"/>
      <c r="L125" s="2"/>
      <c r="M125"/>
      <c r="N125" s="3">
        <v>45920</v>
      </c>
      <c r="O125" t="inlineStr">
        <is>
          <t>推进中</t>
        </is>
      </c>
      <c r="P125"/>
      <c r="Q125"/>
      <c r="R125"/>
      <c r="S125"/>
      <c r="T125"/>
    </row>
    <row r="126" ht="25.5" customHeight="1">
      <c r="A126" t="inlineStr">
        <is>
          <t>Ushimed</t>
        </is>
      </c>
      <c r="B126" t="inlineStr">
        <is>
          <t>中国</t>
        </is>
      </c>
      <c r="C126" t="inlineStr">
        <is>
          <t>上海</t>
        </is>
      </c>
      <c r="D126" t="inlineStr">
        <is>
          <t>医院</t>
        </is>
      </c>
      <c r="E126" t="inlineStr">
        <is>
          <t>医疗行业</t>
        </is>
      </c>
      <c r="F126"/>
      <c r="G126" s="2" t="str">
        <f>=HYPERLINK("https://www.yosemiteclinic.com/", "https://www.yosemiteclinic.com/")</f>
        <v>https://www.yosemiteclinic.com/</v>
      </c>
      <c r="H126" t="inlineStr">
        <is>
          <t>优仕美地（Yosemite Clinic）：面向家庭与国际人群的私立医疗机构，提供全科、儿科、妇产、外科与影像等综合门诊服务，以预约制与个性化诊疗著称。</t>
        </is>
      </c>
      <c r="I126"/>
      <c r="J126"/>
      <c r="K126"/>
      <c r="L126" s="2"/>
      <c r="M126"/>
      <c r="N126" s="3">
        <v>45920</v>
      </c>
      <c r="O126" t="inlineStr">
        <is>
          <t>推进中</t>
        </is>
      </c>
      <c r="P126"/>
      <c r="Q126"/>
      <c r="R126"/>
      <c r="S126"/>
      <c r="T126"/>
    </row>
    <row r="127" ht="25.5" customHeight="1">
      <c r="A127" t="inlineStr">
        <is>
          <t>英国商会/British Chamber</t>
        </is>
      </c>
      <c r="B127" t="inlineStr">
        <is>
          <t>中国</t>
        </is>
      </c>
      <c r="C127" t="inlineStr">
        <is>
          <t>上海</t>
        </is>
      </c>
      <c r="D127" t="inlineStr">
        <is>
          <t>商协会</t>
        </is>
      </c>
      <c r="E127" t="inlineStr">
        <is>
          <t>商会</t>
        </is>
      </c>
      <c r="F127"/>
      <c r="G127" s="2" t="str">
        <f>=HYPERLINK("https://www.britishchambershanghai.cn/", "https://www.britishchambershanghai.cn/")</f>
        <v>https://www.britishchambershanghai.cn/</v>
      </c>
      <c r="H127" t="inlineStr">
        <is>
          <t>英国商会（British Chamber）：在华英资与与英中往来企业的商协会平台，提供政策解读、商务对接、活动交流与会员支持，促进英中经贸与社区连接。</t>
        </is>
      </c>
      <c r="I127" t="inlineStr">
        <is>
          <t>Eloise</t>
        </is>
      </c>
      <c r="J127" t="inlineStr">
        <is>
          <t>Event manager</t>
        </is>
      </c>
      <c r="K127"/>
      <c r="L127" s="2"/>
      <c r="M127" t="inlineStr">
        <is>
          <t>ELOISE-AL</t>
        </is>
      </c>
      <c r="N127" s="3">
        <v>45920</v>
      </c>
      <c r="O127" t="inlineStr">
        <is>
          <t>推进中</t>
        </is>
      </c>
      <c r="P127"/>
      <c r="Q127"/>
      <c r="R127"/>
      <c r="S127"/>
      <c r="T127"/>
    </row>
    <row r="128" ht="25.5" customHeight="1">
      <c r="A128" t="inlineStr">
        <is>
          <t>德威足球青训/Dulwich Football Academy</t>
        </is>
      </c>
      <c r="B128" t="inlineStr">
        <is>
          <t>中国</t>
        </is>
      </c>
      <c r="C128" t="inlineStr">
        <is>
          <t>上海</t>
        </is>
      </c>
      <c r="D128" t="inlineStr">
        <is>
          <t>青训学院</t>
        </is>
      </c>
      <c r="E128" t="inlineStr">
        <is>
          <t>体育</t>
        </is>
      </c>
      <c r="F128"/>
      <c r="G128" s="2" t="str">
        <f>=HYPERLINK("https://shanghai-pudong.dulwich.org/dulwich-life/dulwich-football-academy-announces-major-new-partnership", "https://shanghai-pudong.dulwich.org/dulwich-life/dulwich-football-academy-announces-major-new-partnership")</f>
        <v>https://shanghai-pudong.dulwich.org/dulwich-life/dulwich-football-academy-announces-major-new-partnership</v>
      </c>
      <c r="H128" t="inlineStr">
        <is>
          <t>德威足球青训（Dulwich Football Academy）：依托德威国际教育体系的青少年足球项目，面向不同年龄段开展系统训练与竞赛，注重技术、体能与团队合作培养。</t>
        </is>
      </c>
      <c r="I128" t="inlineStr">
        <is>
          <t>James</t>
        </is>
      </c>
      <c r="J128" t="inlineStr">
        <is>
          <t xml:space="preserve">Coach </t>
        </is>
      </c>
      <c r="K128"/>
      <c r="L128" s="2"/>
      <c r="M128" t="inlineStr">
        <is>
          <t>James moss</t>
        </is>
      </c>
      <c r="N128" s="3">
        <v>45920</v>
      </c>
      <c r="O128" t="inlineStr">
        <is>
          <t>推进中</t>
        </is>
      </c>
      <c r="P128"/>
      <c r="Q128"/>
      <c r="R128"/>
      <c r="S128"/>
      <c r="T128"/>
    </row>
    <row r="129" ht="25.5" customHeight="1">
      <c r="A129" t="inlineStr">
        <is>
          <t>和睦家医院</t>
        </is>
      </c>
      <c r="B129" t="inlineStr">
        <is>
          <t>中国</t>
        </is>
      </c>
      <c r="C129" t="inlineStr">
        <is>
          <t>上海</t>
        </is>
      </c>
      <c r="D129" t="inlineStr">
        <is>
          <t>医院</t>
        </is>
      </c>
      <c r="E129" t="inlineStr">
        <is>
          <t>医疗行业</t>
        </is>
      </c>
      <c r="F129"/>
      <c r="G129" s="2" t="str">
        <f>=HYPERLINK("https://shanghai.ufh.com.cn/?lang=en", "https://shanghai.ufh.com.cn/?lang=en")</f>
        <v>https://shanghai.ufh.com.cn/?lang=en</v>
      </c>
      <c r="H129" t="inlineStr">
        <is>
          <t>和睦家医院（United Family Healthcare）：中国较早的高端私立医疗品牌之一，在多座城市设有医院与诊所，强调国际标准的连续性医疗与以患者为中心的服务。</t>
        </is>
      </c>
      <c r="I129"/>
      <c r="J129"/>
      <c r="K129"/>
      <c r="L129" s="2"/>
      <c r="M129"/>
      <c r="N129" s="3">
        <v>45920</v>
      </c>
      <c r="O129" t="inlineStr">
        <is>
          <t>推进中</t>
        </is>
      </c>
      <c r="P129"/>
      <c r="Q129"/>
      <c r="R129"/>
      <c r="S129"/>
      <c r="T129"/>
    </row>
    <row r="130" ht="25.5" customHeight="1">
      <c r="A130" t="inlineStr">
        <is>
          <t>印度驻沪协会India Association</t>
        </is>
      </c>
      <c r="B130" t="inlineStr">
        <is>
          <t>中国</t>
        </is>
      </c>
      <c r="C130" t="inlineStr">
        <is>
          <t>上海</t>
        </is>
      </c>
      <c r="D130" t="inlineStr">
        <is>
          <t>商协会</t>
        </is>
      </c>
      <c r="E130" t="inlineStr">
        <is>
          <t>商会</t>
        </is>
      </c>
      <c r="F130"/>
      <c r="G130" s="2" t="str">
        <f>=HYPERLINK("https://www.ia-china.com/", "https://www.ia-china.com/")</f>
        <v>https://www.ia-china.com/</v>
      </c>
      <c r="H130" t="inlineStr">
        <is>
          <t>印度驻沪协会（Indian Association Shanghai）：在上海的印度社区组织，组织文化节庆、联谊与公益活动，并为商务与新来沪家庭提供信息支持与社区连接。</t>
        </is>
      </c>
      <c r="I130" t="inlineStr">
        <is>
          <t>Nitin</t>
        </is>
      </c>
      <c r="J130" t="inlineStr">
        <is>
          <t>Market manager</t>
        </is>
      </c>
      <c r="K130"/>
      <c r="L130" s="2"/>
      <c r="M130" t="inlineStr">
        <is>
          <t>Nitin_005</t>
        </is>
      </c>
      <c r="N130" s="3">
        <v>45920</v>
      </c>
      <c r="O130" t="inlineStr">
        <is>
          <t>推进中</t>
        </is>
      </c>
      <c r="P130"/>
      <c r="Q130"/>
      <c r="R130"/>
      <c r="S130"/>
      <c r="T130"/>
    </row>
    <row r="131" ht="25.5" customHeight="1">
      <c r="A131" t="inlineStr">
        <is>
          <t>曼彻斯特大学中国中心</t>
        </is>
      </c>
      <c r="B131" t="inlineStr">
        <is>
          <t>中国</t>
        </is>
      </c>
      <c r="C131" t="inlineStr">
        <is>
          <t>上海</t>
        </is>
      </c>
      <c r="D131" t="inlineStr">
        <is>
          <t>公立大学</t>
        </is>
      </c>
      <c r="E131" t="inlineStr">
        <is>
          <t>教育</t>
        </is>
      </c>
      <c r="F131"/>
      <c r="G131" s="2" t="str">
        <f>=HYPERLINK("https://uom.ac.cn/en", "https://uom.ac.cn/en")</f>
        <v>https://uom.ac.cn/en</v>
      </c>
      <c r="H131" t="inlineStr">
        <is>
          <t>曼彻斯特大学中国中心（University of Manchester China Centre）：位于中国的官方教学与校友服务中心，承接在职硕士/高管教育项目、校友活动与企业合作，促进中英学术与产业交流。</t>
        </is>
      </c>
      <c r="I131"/>
      <c r="J131"/>
      <c r="K131"/>
      <c r="L131" s="2"/>
      <c r="M131"/>
      <c r="N131" s="3">
        <v>45920</v>
      </c>
      <c r="O131" t="inlineStr">
        <is>
          <t>推进中</t>
        </is>
      </c>
      <c r="P131"/>
      <c r="Q131"/>
      <c r="R131"/>
      <c r="S131"/>
      <c r="T131"/>
    </row>
    <row r="132" ht="25.5" customHeight="1">
      <c r="A132" t="inlineStr">
        <is>
          <t>澳洲商会</t>
        </is>
      </c>
      <c r="B132" t="inlineStr">
        <is>
          <t>中国</t>
        </is>
      </c>
      <c r="C132" t="inlineStr">
        <is>
          <t>上海</t>
        </is>
      </c>
      <c r="D132" t="inlineStr">
        <is>
          <t>商协会</t>
        </is>
      </c>
      <c r="E132" t="inlineStr">
        <is>
          <t>商会</t>
        </is>
      </c>
      <c r="F132"/>
      <c r="G132" s="2" t="str">
        <f>=HYPERLINK("https://austcham.org/", "https://austcham.org/")</f>
        <v>https://austcham.org/</v>
      </c>
      <c r="H132" t="inlineStr">
        <is>
          <t>澳洲商会（AustCham）：澳大利亚在华商会网络，为会员企业提供政策资讯、商务配对、行业活动与政府沟通渠道，推动澳中经贸往来。</t>
        </is>
      </c>
      <c r="I132" t="inlineStr">
        <is>
          <t>Gee</t>
        </is>
      </c>
      <c r="J132" t="inlineStr">
        <is>
          <t>Event manager</t>
        </is>
      </c>
      <c r="K132"/>
      <c r="L132" s="2"/>
      <c r="M132" t="inlineStr">
        <is>
          <t>supergeegee</t>
        </is>
      </c>
      <c r="N132" s="3">
        <v>45920</v>
      </c>
      <c r="O132" t="inlineStr">
        <is>
          <t>推进中</t>
        </is>
      </c>
      <c r="P132"/>
      <c r="Q132"/>
      <c r="R132"/>
      <c r="S132"/>
      <c r="T132"/>
    </row>
    <row r="133" ht="25.5" customHeight="1">
      <c r="A133" t="inlineStr">
        <is>
          <t>澳洲AFL俱乐部</t>
        </is>
      </c>
      <c r="B133" t="inlineStr">
        <is>
          <t>中国</t>
        </is>
      </c>
      <c r="C133" t="inlineStr">
        <is>
          <t>上海</t>
        </is>
      </c>
      <c r="D133" t="inlineStr">
        <is>
          <t>职业俱乐部/青训</t>
        </is>
      </c>
      <c r="E133" t="inlineStr">
        <is>
          <t>体育</t>
        </is>
      </c>
      <c r="F133"/>
      <c r="G133" s="2" t="str">
        <f>=HYPERLINK("https://aflasia.com/", "https://aflasia.com/")</f>
        <v>https://aflasia.com/</v>
      </c>
      <c r="H133" t="inlineStr">
        <is>
          <t>澳洲 AFL 俱乐部（Australian Football club）：在华开展澳式橄榄球（AFL）的体育社群/俱乐部，组织训练、联赛与公益推广活动，连接本地与在华澳洲社区（如上海等地的球会）。</t>
        </is>
      </c>
      <c r="I133" t="inlineStr">
        <is>
          <t xml:space="preserve">Tim </t>
        </is>
      </c>
      <c r="J133" t="inlineStr">
        <is>
          <t>Coach</t>
        </is>
      </c>
      <c r="K133"/>
      <c r="L133" s="2"/>
      <c r="M133" t="inlineStr">
        <is>
          <t>Tim Cashman</t>
        </is>
      </c>
      <c r="N133" s="3">
        <v>45920</v>
      </c>
      <c r="O133" t="inlineStr">
        <is>
          <t>推进中</t>
        </is>
      </c>
      <c r="P133"/>
      <c r="Q133"/>
      <c r="R133"/>
      <c r="S133"/>
      <c r="T133"/>
    </row>
    <row r="134" ht="25.5" customHeight="1">
      <c r="A134" t="inlineStr">
        <is>
          <t>Renci（科技公司）</t>
        </is>
      </c>
      <c r="B134" t="inlineStr">
        <is>
          <t>新加坡</t>
        </is>
      </c>
      <c r="C134"/>
      <c r="D134" t="inlineStr">
        <is>
          <t>养老院</t>
        </is>
      </c>
      <c r="E134" t="inlineStr">
        <is>
          <t>医疗行业</t>
        </is>
      </c>
      <c r="F134"/>
      <c r="G134" s="2" t="str">
        <f>=HYPERLINK("https://www.renci.org.sg/contact-us/essential-information/", "https://www.renci.org.sg/contact-us/essential-information/")</f>
        <v>https://www.renci.org.sg/contact-us/essential-information/</v>
      </c>
      <c r="H134" t="inlineStr">
        <is>
          <t>新加坡养老机构</t>
        </is>
      </c>
      <c r="I134" t="inlineStr">
        <is>
          <t>DR. LIM</t>
        </is>
      </c>
      <c r="J134" t="inlineStr">
        <is>
          <t>CEO</t>
        </is>
      </c>
      <c r="K134"/>
      <c r="L134" s="2"/>
      <c r="M134"/>
      <c r="N134" s="3">
        <v>45928</v>
      </c>
      <c r="O134" t="inlineStr">
        <is>
          <t>推进中</t>
        </is>
      </c>
      <c r="P134" t="inlineStr">
        <is>
          <t>领英沟通未回复</t>
        </is>
      </c>
      <c r="Q134"/>
      <c r="R134"/>
      <c r="S134"/>
      <c r="T134"/>
    </row>
    <row r="135" ht="25.5" customHeight="1">
      <c r="A135" t="inlineStr">
        <is>
          <t>橙谷（护理服务公司）Orange Valley</t>
        </is>
      </c>
      <c r="B135" t="inlineStr">
        <is>
          <t>新加坡</t>
        </is>
      </c>
      <c r="C135"/>
      <c r="D135" t="inlineStr">
        <is>
          <t>养老院</t>
        </is>
      </c>
      <c r="E135" t="inlineStr">
        <is>
          <t>医疗行业</t>
        </is>
      </c>
      <c r="F135"/>
      <c r="G135" s="2" t="str">
        <f>=HYPERLINK("https://orangevalley.sg/contact-us/", "https://orangevalley.sg/contact-us/")</f>
        <v>https://orangevalley.sg/contact-us/</v>
      </c>
      <c r="H135" t="inlineStr">
        <is>
          <t>新加坡养老机构</t>
        </is>
      </c>
      <c r="I135"/>
      <c r="J135"/>
      <c r="K135"/>
      <c r="L135" s="2"/>
      <c r="M135"/>
      <c r="N135" s="3">
        <v>45928</v>
      </c>
      <c r="O135" t="inlineStr">
        <is>
          <t>已联系未回复</t>
        </is>
      </c>
      <c r="P135" t="inlineStr">
        <is>
          <t>网站提交预约申请，未回复</t>
        </is>
      </c>
      <c r="Q135"/>
      <c r="R135"/>
      <c r="S135"/>
      <c r="T135"/>
    </row>
    <row r="136" ht="25.5" customHeight="1">
      <c r="A136" t="inlineStr">
        <is>
          <t>NTUC健康护理院/NTUC Health Nursing Home</t>
        </is>
      </c>
      <c r="B136" t="inlineStr">
        <is>
          <t>新加坡</t>
        </is>
      </c>
      <c r="C136"/>
      <c r="D136" t="inlineStr">
        <is>
          <t>养老院</t>
        </is>
      </c>
      <c r="E136" t="inlineStr">
        <is>
          <t>医疗行业</t>
        </is>
      </c>
      <c r="F136"/>
      <c r="G136" s="2"/>
      <c r="H136" t="inlineStr">
        <is>
          <t>新加坡养老机构</t>
        </is>
      </c>
      <c r="I136"/>
      <c r="J136"/>
      <c r="K136"/>
      <c r="L136" s="2"/>
      <c r="M136"/>
      <c r="N136" s="3">
        <v>45928</v>
      </c>
      <c r="O136" t="inlineStr">
        <is>
          <t>已联系未回复</t>
        </is>
      </c>
      <c r="P136"/>
      <c r="Q136"/>
      <c r="R136"/>
      <c r="S136"/>
      <c r="T136"/>
    </row>
    <row r="137" ht="25.5" customHeight="1">
      <c r="A137" t="inlineStr">
        <is>
          <t>ELDEX</t>
        </is>
      </c>
      <c r="B137" t="inlineStr">
        <is>
          <t>新加坡</t>
        </is>
      </c>
      <c r="C137"/>
      <c r="D137" t="inlineStr">
        <is>
          <t>展会</t>
        </is>
      </c>
      <c r="E137" t="inlineStr">
        <is>
          <t>医疗行业</t>
        </is>
      </c>
      <c r="F137"/>
      <c r="G137" s="2" t="str">
        <f>=HYPERLINK("https://eldexasia.com/", "https://eldexasia.com/")</f>
        <v>https://eldexasia.com/</v>
      </c>
      <c r="H137" t="inlineStr">
        <is>
          <t>展会</t>
        </is>
      </c>
      <c r="I137"/>
      <c r="J137"/>
      <c r="K137"/>
      <c r="L137" s="2"/>
      <c r="M137"/>
      <c r="N137" s="3">
        <v>45928</v>
      </c>
      <c r="O137" t="inlineStr">
        <is>
          <t>推进中</t>
        </is>
      </c>
      <c r="P137" t="inlineStr">
        <is>
          <t>未回复</t>
        </is>
      </c>
      <c r="Q137"/>
      <c r="R137"/>
      <c r="S137"/>
      <c r="T137"/>
    </row>
    <row r="138" ht="25.5" customHeight="1">
      <c r="A138" t="inlineStr">
        <is>
          <t>THK 太和观</t>
        </is>
      </c>
      <c r="B138" t="inlineStr">
        <is>
          <t>新加坡</t>
        </is>
      </c>
      <c r="C138"/>
      <c r="D138" t="inlineStr">
        <is>
          <t>养老院</t>
        </is>
      </c>
      <c r="E138" t="inlineStr">
        <is>
          <t>医疗行业</t>
        </is>
      </c>
      <c r="F138"/>
      <c r="G138" s="2" t="str">
        <f>=HYPERLINK("https://www.thknh.org.sg/thk-nursing-home/", "https://www.thknh.org.sg/thk-nursing-home/")</f>
        <v>https://www.thknh.org.sg/thk-nursing-home/</v>
      </c>
      <c r="H138" t="inlineStr">
        <is>
          <t>新加坡养老机构</t>
        </is>
      </c>
      <c r="I138"/>
      <c r="J138"/>
      <c r="K138"/>
      <c r="L138" s="2"/>
      <c r="M138" t="inlineStr">
        <is>
          <t>+65 6241 1808</t>
        </is>
      </c>
      <c r="N138" s="3">
        <v>45928</v>
      </c>
      <c r="O138" t="inlineStr">
        <is>
          <t>已联系未回复</t>
        </is>
      </c>
      <c r="P138"/>
      <c r="Q138"/>
      <c r="R138"/>
      <c r="S138"/>
      <c r="T138"/>
    </row>
    <row r="139" ht="25.5" customHeight="1">
      <c r="A139" t="inlineStr">
        <is>
          <t>经济与医疗保健/Econ Health Care</t>
        </is>
      </c>
      <c r="B139" t="inlineStr">
        <is>
          <t>新加坡</t>
        </is>
      </c>
      <c r="C139"/>
      <c r="D139" t="inlineStr">
        <is>
          <t>养老院</t>
        </is>
      </c>
      <c r="E139" t="inlineStr">
        <is>
          <t>医疗行业</t>
        </is>
      </c>
      <c r="F139"/>
      <c r="G139" s="2" t="str">
        <f>=HYPERLINK("https://econhealthcare.sg/services/nursing-home/", "https://econhealthcare.sg/services/nursing-home/")</f>
        <v>https://econhealthcare.sg/services/nursing-home/</v>
      </c>
      <c r="H139" t="inlineStr">
        <is>
          <t>新加坡养老机构</t>
        </is>
      </c>
      <c r="I139"/>
      <c r="J139"/>
      <c r="K139"/>
      <c r="L139" s="2"/>
      <c r="M139" t="inlineStr">
        <is>
          <t>+65 62261188</t>
        </is>
      </c>
      <c r="N139" s="3">
        <v>45929</v>
      </c>
      <c r="O139" t="inlineStr">
        <is>
          <t>拒绝</t>
        </is>
      </c>
      <c r="P139"/>
      <c r="Q139"/>
      <c r="R139"/>
      <c r="S139"/>
      <c r="T139"/>
    </row>
    <row r="140" ht="25.5" customHeight="1">
      <c r="A140" t="inlineStr">
        <is>
          <t>圣安德鲁护理院/ St. Andrew's Nursing Home</t>
        </is>
      </c>
      <c r="B140" t="inlineStr">
        <is>
          <t>新加坡</t>
        </is>
      </c>
      <c r="C140"/>
      <c r="D140" t="inlineStr">
        <is>
          <t>养老院</t>
        </is>
      </c>
      <c r="E140" t="inlineStr">
        <is>
          <t>医疗行业</t>
        </is>
      </c>
      <c r="F140"/>
      <c r="G140" s="2" t="str">
        <f>=HYPERLINK("https://www.sanh.org.sg/our-facilities/our-nursing-homes/", "https://www.sanh.org.sg/our-facilities/our-nursing-homes/")</f>
        <v>https://www.sanh.org.sg/our-facilities/our-nursing-homes/</v>
      </c>
      <c r="H140" t="inlineStr">
        <is>
          <t>新加坡养老机构</t>
        </is>
      </c>
      <c r="I140"/>
      <c r="J140"/>
      <c r="K140"/>
      <c r="L140" s="2"/>
      <c r="M140" t="inlineStr">
        <is>
          <t>+65 6880 5330</t>
        </is>
      </c>
      <c r="N140" s="3">
        <v>45929</v>
      </c>
      <c r="O140" t="inlineStr">
        <is>
          <t>拒绝</t>
        </is>
      </c>
      <c r="P140"/>
      <c r="Q140"/>
      <c r="R140"/>
      <c r="S140"/>
      <c r="T140"/>
    </row>
    <row r="141" ht="25.5" customHeight="1">
      <c r="A141" t="inlineStr">
        <is>
          <t>曹氏基金会/TSAO Foundation</t>
        </is>
      </c>
      <c r="B141" t="inlineStr">
        <is>
          <t>新加坡</t>
        </is>
      </c>
      <c r="C141"/>
      <c r="D141" t="inlineStr">
        <is>
          <t>慈善基金会</t>
        </is>
      </c>
      <c r="E141" t="inlineStr">
        <is>
          <t>慈善基金</t>
        </is>
      </c>
      <c r="F141"/>
      <c r="G141" s="2" t="str">
        <f>=HYPERLINK("https://tsaofoundation.org/support-us/make-a-donation", "https://tsaofoundation.org/support-us/make-a-donation")</f>
        <v>https://tsaofoundation.org/support-us/make-a-donation</v>
      </c>
      <c r="H141" t="inlineStr">
        <is>
          <t>慈善基金组织</t>
        </is>
      </c>
      <c r="I141"/>
      <c r="J141"/>
      <c r="K141"/>
      <c r="L141" s="2"/>
      <c r="M141" t="inlineStr">
        <is>
          <t>+6593 9500</t>
        </is>
      </c>
      <c r="N141" s="3">
        <v>45930</v>
      </c>
      <c r="O141" t="inlineStr">
        <is>
          <t>推进中</t>
        </is>
      </c>
      <c r="P141" t="inlineStr">
        <is>
          <t>等回电话</t>
        </is>
      </c>
      <c r="Q141"/>
      <c r="R141"/>
      <c r="S141"/>
      <c r="T141"/>
    </row>
    <row r="142" ht="25.5" customHeight="1">
      <c r="A142" t="inlineStr">
        <is>
          <t>狮子会之家/LIONS HOME</t>
        </is>
      </c>
      <c r="B142" t="inlineStr">
        <is>
          <t>新加坡</t>
        </is>
      </c>
      <c r="C142"/>
      <c r="D142" t="inlineStr">
        <is>
          <t>养老院</t>
        </is>
      </c>
      <c r="E142" t="inlineStr">
        <is>
          <t>医疗行业</t>
        </is>
      </c>
      <c r="F142"/>
      <c r="G142" s="2" t="str">
        <f>=HYPERLINK("https://lionshome.org.sg/about-us/management-team/", "https://lionshome.org.sg/about-us/management-team/")</f>
        <v>https://lionshome.org.sg/about-us/management-team/</v>
      </c>
      <c r="H142" t="inlineStr">
        <is>
          <t>新加坡养老机构</t>
        </is>
      </c>
      <c r="I142" t="inlineStr">
        <is>
          <t>Christopher Teo
</t>
        </is>
      </c>
      <c r="J142" t="inlineStr">
        <is>
          <t>Deputy Chief Executive Officer</t>
        </is>
      </c>
      <c r="K142"/>
      <c r="L142" s="2"/>
      <c r="M142"/>
      <c r="N142" s="3">
        <v>45930</v>
      </c>
      <c r="O142" t="inlineStr">
        <is>
          <t>推进中</t>
        </is>
      </c>
      <c r="P142"/>
      <c r="Q142"/>
      <c r="R142"/>
      <c r="S142"/>
      <c r="T142"/>
    </row>
    <row r="143" ht="25.5" customHeight="1">
      <c r="A143" t="inlineStr">
        <is>
          <t>圣卢克长者护理/St Luke’s ElderCare</t>
        </is>
      </c>
      <c r="B143" t="inlineStr">
        <is>
          <t>新加坡</t>
        </is>
      </c>
      <c r="C143"/>
      <c r="D143" t="inlineStr">
        <is>
          <t>养老院</t>
        </is>
      </c>
      <c r="E143" t="inlineStr">
        <is>
          <t>医疗行业</t>
        </is>
      </c>
      <c r="F143"/>
      <c r="G143" s="2" t="str">
        <f>=HYPERLINK("https://www.slec.org.sg/about-us/who-we-are/", "https://www.slec.org.sg/about-us/who-we-are/")</f>
        <v>https://www.slec.org.sg/about-us/who-we-are/</v>
      </c>
      <c r="H143" t="inlineStr">
        <is>
          <t>新加坡养老机构</t>
        </is>
      </c>
      <c r="I143"/>
      <c r="J143"/>
      <c r="K143"/>
      <c r="L143" s="2"/>
      <c r="M143" t="inlineStr">
        <is>
          <t>67172777</t>
        </is>
      </c>
      <c r="N143" s="3">
        <v>45930</v>
      </c>
      <c r="O143" t="inlineStr">
        <is>
          <t>推进中</t>
        </is>
      </c>
      <c r="P143"/>
      <c r="Q143"/>
      <c r="R143"/>
      <c r="S143"/>
      <c r="T143"/>
    </row>
    <row r="144" ht="25.5" customHeight="1">
      <c r="A144" t="inlineStr">
        <is>
          <t>Hovicare ulu pandan</t>
        </is>
      </c>
      <c r="B144" t="inlineStr">
        <is>
          <t>新加坡</t>
        </is>
      </c>
      <c r="C144"/>
      <c r="D144" t="inlineStr">
        <is>
          <t>养老院</t>
        </is>
      </c>
      <c r="E144" t="inlineStr">
        <is>
          <t>医疗行业</t>
        </is>
      </c>
      <c r="F144"/>
      <c r="G144" s="2" t="str">
        <f>=HYPERLINK("https://hovicare.sg/ulu-pandan/", "https://hovicare.sg/ulu-pandan/")</f>
        <v>https://hovicare.sg/ulu-pandan/</v>
      </c>
      <c r="H144"/>
      <c r="I144" t="inlineStr">
        <is>
          <t>LUCY</t>
        </is>
      </c>
      <c r="J144" t="inlineStr">
        <is>
          <t>manager</t>
        </is>
      </c>
      <c r="K144"/>
      <c r="L144" s="2"/>
      <c r="M144"/>
      <c r="N144" s="3">
        <v>45938</v>
      </c>
      <c r="O144" t="inlineStr">
        <is>
          <t>拒绝</t>
        </is>
      </c>
      <c r="P144" t="inlineStr">
        <is>
          <t>参加展会没时间接待，展位上可以接待</t>
        </is>
      </c>
      <c r="Q144"/>
      <c r="R144"/>
      <c r="S144"/>
      <c r="T144"/>
    </row>
    <row r="145" ht="25.5" customHeight="1">
      <c r="A145" t="inlineStr">
        <is>
          <t>新加坡社会科学大学/Singapore university of social science</t>
        </is>
      </c>
      <c r="B145" t="inlineStr">
        <is>
          <t>新加坡</t>
        </is>
      </c>
      <c r="C145"/>
      <c r="D145" t="inlineStr">
        <is>
          <t>大学研究机构</t>
        </is>
      </c>
      <c r="E145" t="inlineStr">
        <is>
          <t>教育</t>
        </is>
      </c>
      <c r="F145"/>
      <c r="G145" s="2" t="str">
        <f>=HYPERLINK("https://www.suss.edu.sg/about/about-suss/who-we-are", "https://www.suss.edu.sg/about/about-suss/who-we-are")</f>
        <v>https://www.suss.edu.sg/about/about-suss/who-we-are</v>
      </c>
      <c r="H145"/>
      <c r="I145" t="inlineStr">
        <is>
          <t>Andy Liu</t>
        </is>
      </c>
      <c r="J145"/>
      <c r="K145"/>
      <c r="L145" s="2"/>
      <c r="M145"/>
      <c r="N145" s="3">
        <v>45938</v>
      </c>
      <c r="O145" t="inlineStr">
        <is>
          <t>推进中</t>
        </is>
      </c>
      <c r="P145" t="inlineStr">
        <is>
          <t>要正式拜访函</t>
        </is>
      </c>
      <c r="Q145"/>
      <c r="R145"/>
      <c r="S145"/>
      <c r="T145"/>
    </row>
    <row r="146" ht="25.5" customHeight="1">
      <c r="A146" t="inlineStr">
        <is>
          <t>莲花养老护理/Lotus eldercare</t>
        </is>
      </c>
      <c r="B146" t="inlineStr">
        <is>
          <t>新加坡</t>
        </is>
      </c>
      <c r="C146"/>
      <c r="D146" t="inlineStr">
        <is>
          <t>企业</t>
        </is>
      </c>
      <c r="E146" t="inlineStr">
        <is>
          <t>医疗行业</t>
        </is>
      </c>
      <c r="F146"/>
      <c r="G146" s="2" t="str">
        <f>=HYPERLINK("https://www.lotuseldercare.com.sg/index.php/staff-list", "https://www.lotuseldercare.com.sg/index.php/staff-list")</f>
        <v>https://www.lotuseldercare.com.sg/index.php/staff-list</v>
      </c>
      <c r="H146"/>
      <c r="I146"/>
      <c r="J146"/>
      <c r="K146"/>
      <c r="L146" s="2"/>
      <c r="M146"/>
      <c r="N146" s="3">
        <v>45938</v>
      </c>
      <c r="O146" t="inlineStr">
        <is>
          <t>推进中</t>
        </is>
      </c>
      <c r="P146" t="inlineStr">
        <is>
          <t>添加微信，尚未通过</t>
        </is>
      </c>
      <c r="Q146"/>
      <c r="R146"/>
      <c r="S146"/>
      <c r="T146"/>
    </row>
    <row r="147" ht="25.5" customHeight="1">
      <c r="A147" t="inlineStr">
        <is>
          <t>新加坡营养与饮食学会/Singapore nutrition and dietetics association</t>
        </is>
      </c>
      <c r="B147" t="inlineStr">
        <is>
          <t>新加坡</t>
        </is>
      </c>
      <c r="C147"/>
      <c r="D147" t="inlineStr">
        <is>
          <t>行业协会</t>
        </is>
      </c>
      <c r="E147" t="inlineStr">
        <is>
          <t>医疗行业</t>
        </is>
      </c>
      <c r="F147"/>
      <c r="G147" s="2" t="str">
        <f>=HYPERLINK("https://snda.org.sg/contact-us", "https://snda.org.sg/contact-us")</f>
        <v>https://snda.org.sg/contact-us</v>
      </c>
      <c r="H147"/>
      <c r="I147"/>
      <c r="J147"/>
      <c r="K147"/>
      <c r="L147" s="2"/>
      <c r="M147"/>
      <c r="N147" s="3">
        <v>45938</v>
      </c>
      <c r="O147" t="inlineStr">
        <is>
          <t>推进中</t>
        </is>
      </c>
      <c r="P147" t="inlineStr">
        <is>
          <t>网站提交表格</t>
        </is>
      </c>
      <c r="Q147"/>
      <c r="R147"/>
      <c r="S147"/>
      <c r="T147"/>
    </row>
    <row r="148" ht="25.5" customHeight="1">
      <c r="A148" t="inlineStr">
        <is>
          <t>艾利姆医疗保健/Allium Healthcare</t>
        </is>
      </c>
      <c r="B148" t="inlineStr">
        <is>
          <t>新加坡</t>
        </is>
      </c>
      <c r="C148"/>
      <c r="D148" t="inlineStr">
        <is>
          <t>企业</t>
        </is>
      </c>
      <c r="E148" t="inlineStr">
        <is>
          <t>医疗行业</t>
        </is>
      </c>
      <c r="F148"/>
      <c r="G148" s="2" t="str">
        <f>=HYPERLINK("https://www.alliumhealthcare.com/contact/", "https://www.alliumhealthcare.com/contact/")</f>
        <v>https://www.alliumhealthcare.com/contact/</v>
      </c>
      <c r="H148"/>
      <c r="I148"/>
      <c r="J148"/>
      <c r="K148"/>
      <c r="L148" s="2"/>
      <c r="M148" t="inlineStr">
        <is>
          <t>+65 63350606</t>
        </is>
      </c>
      <c r="N148" s="3">
        <v>45938</v>
      </c>
      <c r="O148" t="inlineStr">
        <is>
          <t>已联系未回复</t>
        </is>
      </c>
      <c r="P148" t="inlineStr">
        <is>
          <t>等回电话</t>
        </is>
      </c>
      <c r="Q148"/>
      <c r="R148"/>
      <c r="S148"/>
      <c r="T148"/>
    </row>
    <row r="149" ht="25.5" customHeight="1">
      <c r="A149" t="inlineStr">
        <is>
          <t>Roceso科技公司/Roceso Technologies</t>
        </is>
      </c>
      <c r="B149" t="inlineStr">
        <is>
          <t>新加坡</t>
        </is>
      </c>
      <c r="C149"/>
      <c r="D149" t="inlineStr">
        <is>
          <t>企业</t>
        </is>
      </c>
      <c r="E149" t="inlineStr">
        <is>
          <t>医疗行业</t>
        </is>
      </c>
      <c r="F149"/>
      <c r="G149" s="2" t="str">
        <f>=HYPERLINK("https://www.roceso.com/", "https://www.roceso.com/")</f>
        <v>https://www.roceso.com/</v>
      </c>
      <c r="H149"/>
      <c r="I149"/>
      <c r="J149"/>
      <c r="K149"/>
      <c r="L149" s="2"/>
      <c r="M149" t="inlineStr">
        <is>
          <t>+65 80445567</t>
        </is>
      </c>
      <c r="N149" s="3">
        <v>45938</v>
      </c>
      <c r="O149" t="inlineStr">
        <is>
          <t>已联系未回复</t>
        </is>
      </c>
      <c r="P149" t="inlineStr">
        <is>
          <t>电话未接通</t>
        </is>
      </c>
      <c r="Q149"/>
      <c r="R149"/>
      <c r="S149"/>
      <c r="T149"/>
    </row>
    <row r="150" ht="25.5" customHeight="1">
      <c r="A150" t="inlineStr">
        <is>
          <t>Fireworks贸易媒体集团/Fireworks trade media grpoup</t>
        </is>
      </c>
      <c r="B150" t="inlineStr">
        <is>
          <t>新加坡</t>
        </is>
      </c>
      <c r="C150"/>
      <c r="D150" t="inlineStr">
        <is>
          <t>企业</t>
        </is>
      </c>
      <c r="E150" t="inlineStr">
        <is>
          <t>商业</t>
        </is>
      </c>
      <c r="F150"/>
      <c r="G150" s="2" t="str">
        <f>=HYPERLINK("https://asiafireworks.com/singapore.html", "https://asiafireworks.com/singapore.html")</f>
        <v>https://asiafireworks.com/singapore.html</v>
      </c>
      <c r="H150"/>
      <c r="I150"/>
      <c r="J150"/>
      <c r="K150"/>
      <c r="L150" s="2"/>
      <c r="M150" t="inlineStr">
        <is>
          <t>+65 6631 8369</t>
        </is>
      </c>
      <c r="N150" s="3">
        <v>45938</v>
      </c>
      <c r="O150" t="inlineStr">
        <is>
          <t>已联系未回复</t>
        </is>
      </c>
      <c r="P150" t="inlineStr">
        <is>
          <t>等回电话</t>
        </is>
      </c>
      <c r="Q150"/>
      <c r="R150"/>
      <c r="S150"/>
      <c r="T150"/>
    </row>
    <row r="151" ht="25.5" customHeight="1">
      <c r="A151" t="inlineStr">
        <is>
          <t>Hovicare Orchard</t>
        </is>
      </c>
      <c r="B151" t="inlineStr">
        <is>
          <t>新加坡</t>
        </is>
      </c>
      <c r="C151"/>
      <c r="D151" t="inlineStr">
        <is>
          <t>养老院</t>
        </is>
      </c>
      <c r="E151" t="inlineStr">
        <is>
          <t>医疗行业</t>
        </is>
      </c>
      <c r="F151"/>
      <c r="G151" s="2" t="str">
        <f>=HYPERLINK("https://hovicare.sg/orchard/", "https://hovicare.sg/orchard/")</f>
        <v>https://hovicare.sg/orchard/</v>
      </c>
      <c r="H151"/>
      <c r="I151" t="inlineStr">
        <is>
          <t>Beatrice Lim</t>
        </is>
      </c>
      <c r="J151" t="inlineStr">
        <is>
          <t>center manager</t>
        </is>
      </c>
      <c r="K151"/>
      <c r="L151" s="2"/>
      <c r="M151" t="inlineStr">
        <is>
          <t>+65 8700 6789</t>
        </is>
      </c>
      <c r="N151" s="3">
        <v>45939</v>
      </c>
      <c r="O151" t="inlineStr">
        <is>
          <t>推进中</t>
        </is>
      </c>
      <c r="P151" t="inlineStr">
        <is>
          <t>电话未接通</t>
        </is>
      </c>
      <c r="Q151"/>
      <c r="R151"/>
      <c r="S151"/>
      <c r="T151"/>
    </row>
    <row r="152" ht="25.5" customHeight="1">
      <c r="A152" t="inlineStr">
        <is>
          <t>
长老会社区服务/Presbyterian Community Services (PCS)</t>
        </is>
      </c>
      <c r="B152" t="inlineStr">
        <is>
          <t>新加坡</t>
        </is>
      </c>
      <c r="C152"/>
      <c r="D152" t="inlineStr">
        <is>
          <t>协会</t>
        </is>
      </c>
      <c r="E152" t="inlineStr">
        <is>
          <t>慈善基金</t>
        </is>
      </c>
      <c r="F152"/>
      <c r="G152" s="2" t="str">
        <f>=HYPERLINK("https://www.linkedin.com/company/presbyterian-community-services/", "https://www.linkedin.com/company/presbyterian-community-services/")</f>
        <v>https://www.linkedin.com/company/presbyterian-community-services/</v>
      </c>
      <c r="H152"/>
      <c r="I152" t="inlineStr">
        <is>
          <t>Tristan</t>
        </is>
      </c>
      <c r="J152" t="inlineStr">
        <is>
          <t>associate director</t>
        </is>
      </c>
      <c r="K152"/>
      <c r="L152" s="2"/>
      <c r="M152" t="inlineStr">
        <is>
          <t>63344445</t>
        </is>
      </c>
      <c r="N152" s="3">
        <v>45939</v>
      </c>
      <c r="O152" t="inlineStr">
        <is>
          <t>推进中</t>
        </is>
      </c>
      <c r="P152" t="inlineStr">
        <is>
          <t>领英等待回复</t>
        </is>
      </c>
      <c r="Q152"/>
      <c r="R152"/>
      <c r="S152"/>
      <c r="T152"/>
    </row>
    <row r="153" ht="25.5" customHeight="1">
      <c r="A153" t="inlineStr">
        <is>
          <t xml:space="preserve">南洋理工大学NTU </t>
        </is>
      </c>
      <c r="B153" t="inlineStr">
        <is>
          <t>新加坡</t>
        </is>
      </c>
      <c r="C153"/>
      <c r="D153" t="inlineStr">
        <is>
          <t>大学研究机构</t>
        </is>
      </c>
      <c r="E153" t="inlineStr">
        <is>
          <t>教育</t>
        </is>
      </c>
      <c r="F153"/>
      <c r="G153" s="2"/>
      <c r="H153"/>
      <c r="I153" t="inlineStr">
        <is>
          <t>Mr. Jia</t>
        </is>
      </c>
      <c r="J153"/>
      <c r="K153"/>
      <c r="L153" s="2"/>
      <c r="M153" t="inlineStr">
        <is>
          <t xml:space="preserve">86-21）5027-3302 </t>
        </is>
      </c>
      <c r="N153" s="3">
        <v>45939</v>
      </c>
      <c r="O153" t="inlineStr">
        <is>
          <t>已联系未回复</t>
        </is>
      </c>
      <c r="P153" t="inlineStr">
        <is>
          <t>电话沟通，邮件联系等回复</t>
        </is>
      </c>
      <c r="Q153"/>
      <c r="R153"/>
      <c r="S153"/>
      <c r="T153"/>
    </row>
    <row r="154" ht="25.5" customHeight="1">
      <c r="A154" t="inlineStr">
        <is>
          <t>卡迪夫大学/Cardiff University</t>
        </is>
      </c>
      <c r="B154" t="inlineStr">
        <is>
          <t>英国</t>
        </is>
      </c>
      <c r="C154" t="inlineStr">
        <is>
          <t>卡迪夫</t>
        </is>
      </c>
      <c r="D154" t="inlineStr">
        <is>
          <t>大学研究机构</t>
        </is>
      </c>
      <c r="E154" t="inlineStr">
        <is>
          <t>教育</t>
        </is>
      </c>
      <c r="F154" t="inlineStr">
        <is>
          <t>卡迪夫市，威尔士，CF10 3AT，英国</t>
        </is>
      </c>
      <c r="G154" s="2" t="str">
        <f>=HYPERLINK("https://www.cardiff.ac.uk/", "https://www.cardiff.ac.uk/")</f>
        <v>https://www.cardiff.ac.uk/</v>
      </c>
      <c r="H154" t="inlineStr">
        <is>
          <t>卡迪夫大学成立于1883年，是威尔士的顶尖大学之一，位于威尔士的首府卡迪夫市。学校提供广泛的学科课程，涵盖了人文学科、医学、工程、社会科学等多个领域。作为一所世界知名的研究型大学，卡迪夫大学在全球排名中屡获佳绩，致力于创新研究和跨学科合作。</t>
        </is>
      </c>
      <c r="I154" t="inlineStr">
        <is>
          <t>Adam Cunningham</t>
        </is>
      </c>
      <c r="J154"/>
      <c r="K154"/>
      <c r="L154" s="2" t="str">
        <f>=HYPERLINK("mailto:Adam.cunningham01@gmail.com", "Adam.cunningham01@gmail.com")</f>
        <v>Adam.cunningham01@gmail.com</v>
      </c>
      <c r="M154"/>
      <c r="N154" s="3">
        <v>45965</v>
      </c>
      <c r="O154" t="inlineStr">
        <is>
          <t>已联系未回复</t>
        </is>
      </c>
      <c r="P154"/>
      <c r="Q154" t="inlineStr">
        <is>
          <t>上海第二工业大学英国伦敦及周边</t>
        </is>
      </c>
      <c r="R154"/>
      <c r="S154"/>
      <c r="T154"/>
    </row>
    <row r="155" ht="25.5" customHeight="1">
      <c r="A155" t="inlineStr">
        <is>
          <t>卡迪夫大学/Cardiff University</t>
        </is>
      </c>
      <c r="B155" t="inlineStr">
        <is>
          <t>英国</t>
        </is>
      </c>
      <c r="C155" t="inlineStr">
        <is>
          <t>卡迪夫</t>
        </is>
      </c>
      <c r="D155" t="inlineStr">
        <is>
          <t>大学研究机构</t>
        </is>
      </c>
      <c r="E155" t="inlineStr">
        <is>
          <t>教育</t>
        </is>
      </c>
      <c r="F155" t="inlineStr">
        <is>
          <t>卡迪夫市，威尔士，CF10 3AT，英国</t>
        </is>
      </c>
      <c r="G155" s="2" t="str">
        <f>=HYPERLINK("https://www.cardiff.ac.uk/", "https://www.cardiff.ac.uk/")</f>
        <v>https://www.cardiff.ac.uk/</v>
      </c>
      <c r="H155" t="inlineStr">
        <is>
          <t>卡迪夫大学成立于1883年，是威尔士的顶尖大学之一，位于威尔士的首府卡迪夫市。学校提供广泛的学科课程，涵盖了人文学科、医学、工程、社会科学等多个领域。作为一所世界知名的研究型大学，卡迪夫大学在全球排名中屡获佳绩，致力于创新研究和跨学科合作。</t>
        </is>
      </c>
      <c r="I155" t="inlineStr">
        <is>
          <t>Uyime Donatus</t>
        </is>
      </c>
      <c r="J155"/>
      <c r="K155"/>
      <c r="L155" s="2" t="str">
        <f>=HYPERLINK("mailto:uyimedonatus@yahoo.com", "uyimedonatus@yahoo.com")</f>
        <v>uyimedonatus@yahoo.com</v>
      </c>
      <c r="M155"/>
      <c r="N155" s="3">
        <v>45965</v>
      </c>
      <c r="O155" t="inlineStr">
        <is>
          <t>已联系未回复</t>
        </is>
      </c>
      <c r="P155"/>
      <c r="Q155" t="inlineStr">
        <is>
          <t>上海第二工业大学英国伦敦及周边</t>
        </is>
      </c>
      <c r="R155"/>
      <c r="S155"/>
      <c r="T155"/>
    </row>
    <row r="156" ht="25.5" customHeight="1">
      <c r="A156" t="inlineStr">
        <is>
          <t>英国剑桥大学/University of Cambridge</t>
        </is>
      </c>
      <c r="B156" t="inlineStr">
        <is>
          <t>英国</t>
        </is>
      </c>
      <c r="C156" t="inlineStr">
        <is>
          <t>剑桥</t>
        </is>
      </c>
      <c r="D156" t="inlineStr">
        <is>
          <t>大学研究机构</t>
        </is>
      </c>
      <c r="E156" t="inlineStr">
        <is>
          <t>教育</t>
        </is>
      </c>
      <c r="F156" t="inlineStr">
        <is>
          <t>剑桥市，剑桥郡，CB2 1TN，英国</t>
        </is>
      </c>
      <c r="G156" s="2" t="str">
        <f>=HYPERLINK("https://www.cam.ac.uk/", "https://www.cam.ac.uk/")</f>
        <v>https://www.cam.ac.uk/</v>
      </c>
      <c r="H156" t="inlineStr">
        <is>
          <t>剑桥大学成立于1209年，是世界上最古老且最著名的大学之一，位于英格兰剑桥市。剑桥大学以其卓越的学术声誉、严谨的学术要求和深厚的学术传统而闻名，培养了众多诺贝尔奖得主、政治领袖和科学家。其学术课程涵盖了从文学到科学、工程、社会科学等几乎所有领域。</t>
        </is>
      </c>
      <c r="I156" t="inlineStr">
        <is>
          <t>Amit Paul Jathoul</t>
        </is>
      </c>
      <c r="J156"/>
      <c r="K156"/>
      <c r="L156" s="2" t="str">
        <f>=HYPERLINK("mailto:ajathoul@bioflares.com", "ajathoul@bioflares.com")</f>
        <v>ajathoul@bioflares.com</v>
      </c>
      <c r="M156"/>
      <c r="N156" s="3">
        <v>45965</v>
      </c>
      <c r="O156" t="inlineStr">
        <is>
          <t>已联系未回复</t>
        </is>
      </c>
      <c r="P156"/>
      <c r="Q156" t="inlineStr">
        <is>
          <t>上海第二工业大学英国伦敦及周边</t>
        </is>
      </c>
      <c r="R156"/>
      <c r="S156"/>
      <c r="T156"/>
    </row>
    <row r="157" ht="25.5" customHeight="1">
      <c r="A157" t="inlineStr">
        <is>
          <t>英国诺丁汉大学/University of Nottingham</t>
        </is>
      </c>
      <c r="B157" t="inlineStr">
        <is>
          <t>英国</t>
        </is>
      </c>
      <c r="C157" t="inlineStr">
        <is>
          <t>诺丁汉</t>
        </is>
      </c>
      <c r="D157" t="inlineStr">
        <is>
          <t>大学研究机构</t>
        </is>
      </c>
      <c r="E157" t="inlineStr">
        <is>
          <t>教育</t>
        </is>
      </c>
      <c r="F157" t="inlineStr">
        <is>
          <t>诺丁汉市，诺丁汉郡，NG7 2RD，英国</t>
        </is>
      </c>
      <c r="G157" s="2" t="str">
        <f>=HYPERLINK("https://www.nottingham.ac.uk/", "https://www.nottingham.ac.uk/")</f>
        <v>https://www.nottingham.ac.uk/</v>
      </c>
      <c r="H157" t="inlineStr">
        <is>
          <t>诺丁汉大学成立于1881年，位于英格兰的诺丁汉市。作为一所综合性大学，诺丁汉大学提供广泛的学位课程，特别在商科、法律、医学、工程和科学领域具有较强的学术优势。该校注重国际化，拥有众多全球合作伙伴，并且是全球领先的研究型大学之一。</t>
        </is>
      </c>
      <c r="I157" t="inlineStr">
        <is>
          <t>Abdul Rehman Memon</t>
        </is>
      </c>
      <c r="J157"/>
      <c r="K157"/>
      <c r="L157" s="2" t="str">
        <f>=HYPERLINK("mailto:abdrehman848@gmail.com", "abdrehman848@gmail.com")</f>
        <v>abdrehman848@gmail.com</v>
      </c>
      <c r="M157"/>
      <c r="N157" s="3">
        <v>45965</v>
      </c>
      <c r="O157" t="inlineStr">
        <is>
          <t>已联系未回复</t>
        </is>
      </c>
      <c r="P157"/>
      <c r="Q157" t="inlineStr">
        <is>
          <t>上海第二工业大学英国伦敦及周边</t>
        </is>
      </c>
      <c r="R157"/>
      <c r="S157"/>
      <c r="T157"/>
    </row>
    <row r="158" ht="25.5" customHeight="1">
      <c r="A158" t="inlineStr">
        <is>
          <t>爱丁堡大学/University of Edinburgh</t>
        </is>
      </c>
      <c r="B158" t="inlineStr">
        <is>
          <t>英国</t>
        </is>
      </c>
      <c r="C158" t="inlineStr">
        <is>
          <t>爱丁堡</t>
        </is>
      </c>
      <c r="D158" t="inlineStr">
        <is>
          <t>大学研究机构</t>
        </is>
      </c>
      <c r="E158" t="inlineStr">
        <is>
          <t>教育</t>
        </is>
      </c>
      <c r="F158" t="inlineStr">
        <is>
          <t>爱丁堡市，苏格兰，EH8 9YL，英国</t>
        </is>
      </c>
      <c r="G158" s="2" t="str">
        <f>=HYPERLINK("https://www.ed.ac.uk/", "https://www.ed.ac.uk/")</f>
        <v>https://www.ed.ac.uk/</v>
      </c>
      <c r="H158" t="inlineStr">
        <is>
          <t>爱丁堡大学成立于1582年，位于苏格兰的爱丁堡市，是世界排名前列的大学之一。学校以其在医学、科技、人文学科等方面的杰出研究和学术成就而著名。爱丁堡大学是联合国教科文组织“世界文化遗产”城市的一个重要组成部分，吸引了来自全球的学生和学者。</t>
        </is>
      </c>
      <c r="I158" t="inlineStr">
        <is>
          <t>Chengjia Wang</t>
        </is>
      </c>
      <c r="J158"/>
      <c r="K158"/>
      <c r="L158" s="2" t="str">
        <f>=HYPERLINK("mailto:wangchengjia1986@gmail.com", "wangchengjia1986@gmail.com")</f>
        <v>wangchengjia1986@gmail.com</v>
      </c>
      <c r="M158"/>
      <c r="N158" s="3">
        <v>45965</v>
      </c>
      <c r="O158" t="inlineStr">
        <is>
          <t>已联系未回复</t>
        </is>
      </c>
      <c r="P158"/>
      <c r="Q158" t="inlineStr">
        <is>
          <t>上海第二工业大学英国伦敦及周边</t>
        </is>
      </c>
      <c r="R158"/>
      <c r="S158"/>
      <c r="T158"/>
    </row>
    <row r="159" ht="25.5" customHeight="1">
      <c r="A159" t="inlineStr">
        <is>
          <t>英国巴斯大学/University of Bath</t>
        </is>
      </c>
      <c r="B159" t="inlineStr">
        <is>
          <t>英国</t>
        </is>
      </c>
      <c r="C159" t="inlineStr">
        <is>
          <t>巴斯</t>
        </is>
      </c>
      <c r="D159" t="inlineStr">
        <is>
          <t>大学研究机构</t>
        </is>
      </c>
      <c r="E159" t="inlineStr">
        <is>
          <t>教育</t>
        </is>
      </c>
      <c r="F159" t="inlineStr">
        <is>
          <t>巴斯市，巴斯郡，BA2 7AY，英国</t>
        </is>
      </c>
      <c r="G159" s="2" t="str">
        <f>=HYPERLINK("https://www.bath.ac.uk/", "https://www.bath.ac.uk/")</f>
        <v>https://www.bath.ac.uk/</v>
      </c>
      <c r="H159" t="inlineStr">
        <is>
          <t>巴斯大学成立于1966年，位于英格兰的巴斯市，是一所以工程、建筑和人文学科见长的研究型大学。巴斯大学致力于创新与实践，尤其在工程、建筑学、数学和药学领域有着强大的声誉。学校的跨学科研究和与行业的紧密合作，使其成为全球领先的学术和研究中心。</t>
        </is>
      </c>
      <c r="I159" t="inlineStr">
        <is>
          <t>Manuchehr Soleimani</t>
        </is>
      </c>
      <c r="J159"/>
      <c r="K159"/>
      <c r="L159" s="2" t="str">
        <f>=HYPERLINK("mailto:ms350@bath.ac.uk", "ms350@bath.ac.uk")</f>
        <v>ms350@bath.ac.uk</v>
      </c>
      <c r="M159"/>
      <c r="N159" s="3">
        <v>45965</v>
      </c>
      <c r="O159" t="inlineStr">
        <is>
          <t>已联系未回复</t>
        </is>
      </c>
      <c r="P159"/>
      <c r="Q159" t="inlineStr">
        <is>
          <t>上海第二工业大学英国伦敦及周边</t>
        </is>
      </c>
      <c r="R159"/>
      <c r="S159"/>
      <c r="T159"/>
    </row>
    <row r="160" ht="25.5" customHeight="1">
      <c r="A160" t="inlineStr">
        <is>
          <t>伦敦大学学院/University College London (UCL)</t>
        </is>
      </c>
      <c r="B160" t="inlineStr">
        <is>
          <t>英国</t>
        </is>
      </c>
      <c r="C160" t="inlineStr">
        <is>
          <t>伦敦</t>
        </is>
      </c>
      <c r="D160" t="inlineStr">
        <is>
          <t>大学研究机构</t>
        </is>
      </c>
      <c r="E160" t="inlineStr">
        <is>
          <t>教育</t>
        </is>
      </c>
      <c r="F160" t="inlineStr">
        <is>
          <t>伦敦市，WC1E 6BT，英国</t>
        </is>
      </c>
      <c r="G160" s="2" t="str">
        <f>=HYPERLINK("https://www.ucl.ac.uk/", "https://www.ucl.ac.uk/")</f>
        <v>https://www.ucl.ac.uk/</v>
      </c>
      <c r="H160" t="inlineStr">
        <is>
          <t>伦敦大学学院（UCL）成立于1826年，是伦敦最大且最具声望的大学之一。UCL拥有丰富的学科设置，包括医学、工程、计算机科学、人文学科等，其研究在全球学术界具有深远影响。学校位于伦敦市中心，是国际化程度极高的研究型大学。</t>
        </is>
      </c>
      <c r="I160" t="inlineStr">
        <is>
          <t>陈焕发</t>
        </is>
      </c>
      <c r="J160"/>
      <c r="K160"/>
      <c r="L160" s="2" t="str">
        <f>=HYPERLINK("mailto:chenhuanfa@gmail.com", "chenhuanfa@gmail.com")</f>
        <v>chenhuanfa@gmail.com</v>
      </c>
      <c r="M160"/>
      <c r="N160" s="3">
        <v>45965</v>
      </c>
      <c r="O160" t="inlineStr">
        <is>
          <t>已联系未回复</t>
        </is>
      </c>
      <c r="P160"/>
      <c r="Q160" t="inlineStr">
        <is>
          <t>上海第二工业大学英国伦敦及周边</t>
        </is>
      </c>
      <c r="R160"/>
      <c r="S160"/>
      <c r="T160"/>
    </row>
    <row r="161" ht="25.5" customHeight="1">
      <c r="A161" t="inlineStr">
        <is>
          <t>英国鲁斯金大学/Ruskin College, Oxford</t>
        </is>
      </c>
      <c r="B161" t="inlineStr">
        <is>
          <t>英国</t>
        </is>
      </c>
      <c r="C161" t="inlineStr">
        <is>
          <t>牛津</t>
        </is>
      </c>
      <c r="D161" t="inlineStr">
        <is>
          <t>大学研究机构</t>
        </is>
      </c>
      <c r="E161" t="inlineStr">
        <is>
          <t>教育</t>
        </is>
      </c>
      <c r="F161" t="inlineStr">
        <is>
          <t>牛津市，牛津郡，OX3 9AT，英国</t>
        </is>
      </c>
      <c r="G161" s="2" t="str">
        <f>=HYPERLINK("https://www.ruskin.ac.uk/", "https://www.ruskin.ac.uk/")</f>
        <v>https://www.ruskin.ac.uk/</v>
      </c>
      <c r="H161" t="inlineStr">
        <is>
          <t>鲁斯金大学成立于1899年，位于英格兰的牛津市。学校专注于成人教育、社会科学及相关学科的研究与教学，尤其以开放教育和职业技能培训著称。它为不同背景的学员提供了机会，特别是在社会政策、文化研究和艺术领域。</t>
        </is>
      </c>
      <c r="I161" t="inlineStr">
        <is>
          <t>Simanjuntak Sarinova</t>
        </is>
      </c>
      <c r="J161"/>
      <c r="K161"/>
      <c r="L161" s="2" t="str">
        <f>=HYPERLINK("mailto:s.simandjuntak@gmail.com", "s.simandjuntak@gmail.com")</f>
        <v>s.simandjuntak@gmail.com</v>
      </c>
      <c r="M161"/>
      <c r="N161" s="3">
        <v>45965</v>
      </c>
      <c r="O161" t="inlineStr">
        <is>
          <t>已联系已回复</t>
        </is>
      </c>
      <c r="P161" t="inlineStr">
        <is>
          <t>通过工作邮箱联系：sarinova.simanjuntak@aru.ac.uk表示今年没时间，明年或者后期可以展开合作</t>
        </is>
      </c>
      <c r="Q161" t="inlineStr">
        <is>
          <t>上海第二工业大学英国伦敦及周边</t>
        </is>
      </c>
      <c r="R161"/>
      <c r="S161" t="inlineStr">
        <is>
          <t>合作方向：
1. 专业技术人员高级研修与认证培训：面向中国先进制造、航空航天、汽车工业等领域的工程师与技术人员，开设 “先进材料力学性能测试、复合材料工程应用、结构完整性评估” 等方向的短期、高强度高级研修班或国际认证培训课程。
2. 应用型研究与技术咨询合作：结合其可能在材料工程领域的应用研究专长（需进一步核实具体实验室或合作伙伴），围绕 “轻量化材料设计、疲劳与断裂力学分析、材料在极端环境下的行为” 等课题，开展面向企业实际技术难题的联合研究或咨询项目。
3. 职业技能标准与课程体系对接：借鉴其在工程领域职业技能培养与资格认证方面的经验（若存在），协助中国职业院校或应用型大学开发或升级材料力学相关专业的课程体系与实训标准。
4. 在职工程硕士（MEng）或专业博士（EngD）项目合作：探索为中国企业骨干工程师开设非全日制的、以解决工程实际问题为导向的在职学位项目，实现学历提升与技术创新同步。
5. 行业研讨会与技术考察：组织中国材料与工程领域的因公出访团组，参与或共同举办聚焦材料力学前沿应用的小型高端行业研讨会，并考察相关的英国企业或研发中心。
合作领域：
核心领域：材料力学（强度、疲劳、断裂）、复合材料工程、结构力学与仿真。
特色领域：材料性能测试与表征技术、工程失效分析、可持续材料力学。
合作特点：合作将侧重于 “材料力学理论的工程化应用与高级工程技术人员的实践能力提升” ，强调解决实际工程问题，而非纯粹的基础理论研究。其合作模式可能更贴近 “专业继续教育” 与 “应用技术开发”</t>
        </is>
      </c>
      <c r="T161"/>
    </row>
    <row r="162" ht="25.5" customHeight="1">
      <c r="A162" t="inlineStr">
        <is>
          <t>英国南安普顿大学/University of Southampton</t>
        </is>
      </c>
      <c r="B162" t="inlineStr">
        <is>
          <t>英国</t>
        </is>
      </c>
      <c r="C162" t="inlineStr">
        <is>
          <t>南安普顿</t>
        </is>
      </c>
      <c r="D162" t="inlineStr">
        <is>
          <t>大学研究机构</t>
        </is>
      </c>
      <c r="E162" t="inlineStr">
        <is>
          <t>教育</t>
        </is>
      </c>
      <c r="F162" t="inlineStr">
        <is>
          <t>南安普顿市，南安普顿郡，SO17 1BJ，英国</t>
        </is>
      </c>
      <c r="G162" s="2" t="str">
        <f>=HYPERLINK("https://www.southampton.ac.uk/", "https://www.southampton.ac.uk/")</f>
        <v>https://www.southampton.ac.uk/</v>
      </c>
      <c r="H162" t="inlineStr">
        <is>
          <t>南安普顿大学成立于1862年，位于英格兰南部的南安普顿市。学校以其在海洋学、航天工程、医学、商科等领域的卓越研究而闻名。南安普顿大学是全球领先的科研中心之一，致力于推动创新并与行业密切合作。</t>
        </is>
      </c>
      <c r="I162" t="inlineStr">
        <is>
          <t>Georges Limbert</t>
        </is>
      </c>
      <c r="J162"/>
      <c r="K162"/>
      <c r="L162" s="2" t="str">
        <f>=HYPERLINK("mailto:g.limbert@soton.ac.uk", "g.limbert@soton.ac.uk")</f>
        <v>g.limbert@soton.ac.uk</v>
      </c>
      <c r="M162"/>
      <c r="N162" s="3">
        <v>45965</v>
      </c>
      <c r="O162" t="inlineStr">
        <is>
          <t>已联系未回复</t>
        </is>
      </c>
      <c r="P162"/>
      <c r="Q162" t="inlineStr">
        <is>
          <t>上海第二工业大学英国伦敦及周边</t>
        </is>
      </c>
      <c r="R162"/>
      <c r="S162"/>
      <c r="T162"/>
    </row>
    <row r="163" ht="25.5" customHeight="1">
      <c r="A163" t="inlineStr">
        <is>
          <t>帝国理工学院/Imperial College London</t>
        </is>
      </c>
      <c r="B163" t="inlineStr">
        <is>
          <t>英国</t>
        </is>
      </c>
      <c r="C163" t="inlineStr">
        <is>
          <t>伦敦</t>
        </is>
      </c>
      <c r="D163" t="inlineStr">
        <is>
          <t>大学研究机构</t>
        </is>
      </c>
      <c r="E163" t="inlineStr">
        <is>
          <t>教育</t>
        </is>
      </c>
      <c r="F163" t="inlineStr">
        <is>
          <t>伦敦市，SW7 2AZ，英国</t>
        </is>
      </c>
      <c r="G163" s="2" t="str">
        <f>=HYPERLINK("https://www.imperial.ac.uk/", "https://www.imperial.ac.uk/")</f>
        <v>https://www.imperial.ac.uk/</v>
      </c>
      <c r="H163" t="inlineStr">
        <is>
          <t>帝国理工学院成立于1907年，是一所世界顶尖的理工科大学，位于伦敦市中心。帝国理工以其卓越的工程、科技、医学和商科领域的研究与教学质量著称，吸引了来自世界各地的学生和学者。它以强大的科研实力和跨学科合作而闻名，是世界科技创新的领跑者之一。</t>
        </is>
      </c>
      <c r="I163" t="inlineStr">
        <is>
          <t>Mudasir Ahmad Yatoo</t>
        </is>
      </c>
      <c r="J163"/>
      <c r="K163"/>
      <c r="L163" s="2" t="str">
        <f>=HYPERLINK("mailto:m.yatoo15@imperial.ac.uk", "m.yatoo15@imperial.ac.uk")</f>
        <v>m.yatoo15@imperial.ac.uk</v>
      </c>
      <c r="M163"/>
      <c r="N163" s="3">
        <v>45965</v>
      </c>
      <c r="O163" t="inlineStr">
        <is>
          <t>已联系未回复</t>
        </is>
      </c>
      <c r="P163"/>
      <c r="Q163" t="inlineStr">
        <is>
          <t>上海第二工业大学英国伦敦及周边</t>
        </is>
      </c>
      <c r="R163"/>
      <c r="S163"/>
      <c r="T163"/>
    </row>
    <row r="164" ht="25.5" customHeight="1">
      <c r="A164" t="inlineStr">
        <is>
          <t>东伦敦大学/University of East London</t>
        </is>
      </c>
      <c r="B164" t="inlineStr">
        <is>
          <t>英国</t>
        </is>
      </c>
      <c r="C164" t="inlineStr">
        <is>
          <t>伦敦</t>
        </is>
      </c>
      <c r="D164" t="inlineStr">
        <is>
          <t>大学研究机构</t>
        </is>
      </c>
      <c r="E164" t="inlineStr">
        <is>
          <t>教育</t>
        </is>
      </c>
      <c r="F164" t="inlineStr">
        <is>
          <t>伦敦市，E16 2RD，英国</t>
        </is>
      </c>
      <c r="G164" s="2" t="str">
        <f>=HYPERLINK("https://www.uel.ac.uk/", "https://www.uel.ac.uk/")</f>
        <v>https://www.uel.ac.uk/</v>
      </c>
      <c r="H164" t="inlineStr">
        <is>
          <t>东伦敦大学成立于1992年，位于英国伦敦的东部。学校提供广泛的本科和研究生课程，特别注重与行业的合作以及实践型学习。东伦敦大学致力于为学生提供现代化的教育，并在科技、艺术、商科等领域具有一定的优势。</t>
        </is>
      </c>
      <c r="I164" t="inlineStr">
        <is>
          <t>Sarah Catmur</t>
        </is>
      </c>
      <c r="J164"/>
      <c r="K164"/>
      <c r="L164" s="2" t="str">
        <f>=HYPERLINK("mailto:S.E.Catmur@uel.ac.uk", "S.E.Catmur@uel.ac.uk")</f>
        <v>S.E.Catmur@uel.ac.uk</v>
      </c>
      <c r="M164" t="inlineStr">
        <is>
          <t>+44(0)20 8223 2529</t>
        </is>
      </c>
      <c r="N164" s="3">
        <v>45965</v>
      </c>
      <c r="O164" t="inlineStr">
        <is>
          <t>已联系未回复</t>
        </is>
      </c>
      <c r="P164"/>
      <c r="Q164" t="inlineStr">
        <is>
          <t>上海第二工业大学英国伦敦及周边</t>
        </is>
      </c>
      <c r="R164"/>
      <c r="S164"/>
      <c r="T164"/>
    </row>
    <row r="165" ht="25.5" customHeight="1">
      <c r="A165" t="inlineStr">
        <is>
          <t>东伦敦大学/University of East London</t>
        </is>
      </c>
      <c r="B165" t="inlineStr">
        <is>
          <t>英国</t>
        </is>
      </c>
      <c r="C165" t="inlineStr">
        <is>
          <t>伦敦</t>
        </is>
      </c>
      <c r="D165" t="inlineStr">
        <is>
          <t>大学研究机构</t>
        </is>
      </c>
      <c r="E165" t="inlineStr">
        <is>
          <t>教育</t>
        </is>
      </c>
      <c r="F165" t="inlineStr">
        <is>
          <t>伦敦市，E16 2RD，英国</t>
        </is>
      </c>
      <c r="G165" s="2" t="str">
        <f>=HYPERLINK("https://www.uel.ac.uk/", "https://www.uel.ac.uk/")</f>
        <v>https://www.uel.ac.uk/</v>
      </c>
      <c r="H165" t="inlineStr">
        <is>
          <t>东伦敦大学成立于1992年，位于英国伦敦的东部。学校提供广泛的本科和研究生课程，特别注重与行业的合作以及实践型学习。东伦敦大学致力于为学生提供现代化的教育，并在科技、艺术、商科等领域具有一定的优势。</t>
        </is>
      </c>
      <c r="I165" t="inlineStr">
        <is>
          <t>Arya Assadi Langroudi</t>
        </is>
      </c>
      <c r="J165"/>
      <c r="K165"/>
      <c r="L165" s="2" t="str">
        <f>=HYPERLINK("mailto:A.AssadiLangroudi@uel.ac.uk", "A.AssadiLangroudi@uel.ac.uk")</f>
        <v>A.AssadiLangroudi@uel.ac.uk</v>
      </c>
      <c r="M165" t="inlineStr">
        <is>
          <t>+44(0)20 8223 2170</t>
        </is>
      </c>
      <c r="N165" s="3">
        <v>45965</v>
      </c>
      <c r="O165" t="inlineStr">
        <is>
          <t>已联系未回复</t>
        </is>
      </c>
      <c r="P165"/>
      <c r="Q165" t="inlineStr">
        <is>
          <t>上海第二工业大学英国伦敦及周边</t>
        </is>
      </c>
      <c r="R165"/>
      <c r="S165"/>
      <c r="T165"/>
    </row>
    <row r="166" ht="25.5" customHeight="1">
      <c r="A166" t="inlineStr">
        <is>
          <t>东伦敦大学/University of East London</t>
        </is>
      </c>
      <c r="B166" t="inlineStr">
        <is>
          <t>英国</t>
        </is>
      </c>
      <c r="C166" t="inlineStr">
        <is>
          <t>伦敦</t>
        </is>
      </c>
      <c r="D166" t="inlineStr">
        <is>
          <t>大学研究机构</t>
        </is>
      </c>
      <c r="E166" t="inlineStr">
        <is>
          <t>教育</t>
        </is>
      </c>
      <c r="F166" t="inlineStr">
        <is>
          <t>伦敦市，E16 2RD，英国</t>
        </is>
      </c>
      <c r="G166" s="2" t="str">
        <f>=HYPERLINK("https://www.uel.ac.uk/", "https://www.uel.ac.uk/")</f>
        <v>https://www.uel.ac.uk/</v>
      </c>
      <c r="H166" t="inlineStr">
        <is>
          <t>东伦敦大学成立于1992年，位于英国伦敦的东部。学校提供广泛的本科和研究生课程，特别注重与行业的合作以及实践型学习。东伦敦大学致力于为学生提供现代化的教育，并在科技、艺术、商科等领域具有一定的优势。</t>
        </is>
      </c>
      <c r="I166" t="inlineStr">
        <is>
          <t>Sohrab Donyavi</t>
        </is>
      </c>
      <c r="J166"/>
      <c r="K166"/>
      <c r="L166" s="2" t="str">
        <f>=HYPERLINK("mailto:S.Donyavi@uel.ac.uk", "S.Donyavi@uel.ac.uk")</f>
        <v>S.Donyavi@uel.ac.uk</v>
      </c>
      <c r="M166" t="inlineStr">
        <is>
          <t>+44(0)20 8223 2356</t>
        </is>
      </c>
      <c r="N166" s="3">
        <v>45965</v>
      </c>
      <c r="O166" t="inlineStr">
        <is>
          <t>已联系未回复</t>
        </is>
      </c>
      <c r="P166"/>
      <c r="Q166" t="inlineStr">
        <is>
          <t>上海第二工业大学英国伦敦及周边</t>
        </is>
      </c>
      <c r="R166"/>
      <c r="S166"/>
      <c r="T166"/>
    </row>
    <row r="167" ht="25.5" customHeight="1">
      <c r="A167" t="inlineStr">
        <is>
          <t>东伦敦大学/University of East London</t>
        </is>
      </c>
      <c r="B167" t="inlineStr">
        <is>
          <t>英国</t>
        </is>
      </c>
      <c r="C167" t="inlineStr">
        <is>
          <t>伦敦</t>
        </is>
      </c>
      <c r="D167" t="inlineStr">
        <is>
          <t>大学研究机构</t>
        </is>
      </c>
      <c r="E167" t="inlineStr">
        <is>
          <t>教育</t>
        </is>
      </c>
      <c r="F167" t="inlineStr">
        <is>
          <t>伦敦市，E16 2RD，英国</t>
        </is>
      </c>
      <c r="G167" s="2" t="str">
        <f>=HYPERLINK("https://www.uel.ac.uk/", "https://www.uel.ac.uk/")</f>
        <v>https://www.uel.ac.uk/</v>
      </c>
      <c r="H167" t="inlineStr">
        <is>
          <t>东伦敦大学成立于1992年，位于英国伦敦的东部。学校提供广泛的本科和研究生课程，特别注重与行业的合作以及实践型学习。东伦敦大学致力于为学生提供现代化的教育，并在科技、艺术、商科等领域具有一定的优势。</t>
        </is>
      </c>
      <c r="I167" t="inlineStr">
        <is>
          <t>David Tann</t>
        </is>
      </c>
      <c r="J167"/>
      <c r="K167"/>
      <c r="L167" s="2" t="str">
        <f>=HYPERLINK("mailto:D.Tann@uel.ac.uk", "D.Tann@uel.ac.uk")</f>
        <v>D.Tann@uel.ac.uk</v>
      </c>
      <c r="M167" t="inlineStr">
        <is>
          <t>+44(0)20 8223 2525</t>
        </is>
      </c>
      <c r="N167" s="3">
        <v>45965</v>
      </c>
      <c r="O167" t="inlineStr">
        <is>
          <t>已联系未回复</t>
        </is>
      </c>
      <c r="P167"/>
      <c r="Q167" t="inlineStr">
        <is>
          <t>上海第二工业大学英国伦敦及周边</t>
        </is>
      </c>
      <c r="R167"/>
      <c r="S167"/>
      <c r="T167"/>
    </row>
    <row r="168" ht="25.5" customHeight="1">
      <c r="A168" t="inlineStr">
        <is>
          <t>东伦敦大学/University of East London</t>
        </is>
      </c>
      <c r="B168" t="inlineStr">
        <is>
          <t>英国</t>
        </is>
      </c>
      <c r="C168" t="inlineStr">
        <is>
          <t>伦敦</t>
        </is>
      </c>
      <c r="D168" t="inlineStr">
        <is>
          <t>大学研究机构</t>
        </is>
      </c>
      <c r="E168" t="inlineStr">
        <is>
          <t>教育</t>
        </is>
      </c>
      <c r="F168" t="inlineStr">
        <is>
          <t>伦敦市，E16 2RD，英国</t>
        </is>
      </c>
      <c r="G168" s="2" t="str">
        <f>=HYPERLINK("https://www.uel.ac.uk/", "https://www.uel.ac.uk/")</f>
        <v>https://www.uel.ac.uk/</v>
      </c>
      <c r="H168" t="inlineStr">
        <is>
          <t>东伦敦大学成立于1992年，位于英国伦敦的东部。学校提供广泛的本科和研究生课程，特别注重与行业的合作以及实践型学习。东伦敦大学致力于为学生提供现代化的教育，并在科技、艺术、商科等领域具有一定的优势。</t>
        </is>
      </c>
      <c r="I168" t="inlineStr">
        <is>
          <t>Gaurav Malik</t>
        </is>
      </c>
      <c r="J168"/>
      <c r="K168"/>
      <c r="L168" s="2" t="str">
        <f>=HYPERLINK("mailto:G.Malik@uel.ac.uk", "G.Malik@uel.ac.uk")</f>
        <v>G.Malik@uel.ac.uk</v>
      </c>
      <c r="M168" t="inlineStr">
        <is>
          <t>+44(0)20 8223 2073</t>
        </is>
      </c>
      <c r="N168" s="3">
        <v>45965</v>
      </c>
      <c r="O168" t="inlineStr">
        <is>
          <t>已联系未回复</t>
        </is>
      </c>
      <c r="P168"/>
      <c r="Q168" t="inlineStr">
        <is>
          <t>上海第二工业大学英国伦敦及周边</t>
        </is>
      </c>
      <c r="R168"/>
      <c r="S168"/>
      <c r="T168"/>
    </row>
    <row r="169" ht="25.5" customHeight="1">
      <c r="A169" t="inlineStr">
        <is>
          <t>东伦敦大学/University of East London</t>
        </is>
      </c>
      <c r="B169" t="inlineStr">
        <is>
          <t>英国</t>
        </is>
      </c>
      <c r="C169" t="inlineStr">
        <is>
          <t>伦敦</t>
        </is>
      </c>
      <c r="D169" t="inlineStr">
        <is>
          <t>大学研究机构</t>
        </is>
      </c>
      <c r="E169" t="inlineStr">
        <is>
          <t>教育</t>
        </is>
      </c>
      <c r="F169" t="inlineStr">
        <is>
          <t>伦敦市，E16 2RD，英国</t>
        </is>
      </c>
      <c r="G169" s="2" t="str">
        <f>=HYPERLINK("https://www.uel.ac.uk/", "https://www.uel.ac.uk/")</f>
        <v>https://www.uel.ac.uk/</v>
      </c>
      <c r="H169" t="inlineStr">
        <is>
          <t>东伦敦大学成立于1992年，位于英国伦敦的东部。学校提供广泛的本科和研究生课程，特别注重与行业的合作以及实践型学习。东伦敦大学致力于为学生提供现代化的教育，并在科技、艺术、商科等领域具有一定的优势。</t>
        </is>
      </c>
      <c r="I169" t="inlineStr">
        <is>
          <t>Aaron Kans</t>
        </is>
      </c>
      <c r="J169"/>
      <c r="K169"/>
      <c r="L169" s="2" t="str">
        <f>=HYPERLINK("mailto:A.Kans@uel.ac.uk", "A.Kans@uel.ac.uk")</f>
        <v>A.Kans@uel.ac.uk</v>
      </c>
      <c r="M169" t="inlineStr">
        <is>
          <t>+44(0)20 8223 2593</t>
        </is>
      </c>
      <c r="N169" s="3">
        <v>45965</v>
      </c>
      <c r="O169" t="inlineStr">
        <is>
          <t>已联系未回复</t>
        </is>
      </c>
      <c r="P169"/>
      <c r="Q169" t="inlineStr">
        <is>
          <t>上海第二工业大学英国伦敦及周边</t>
        </is>
      </c>
      <c r="R169"/>
      <c r="S169"/>
      <c r="T169"/>
    </row>
    <row r="170" ht="25.5" customHeight="1">
      <c r="A170" t="inlineStr">
        <is>
          <t>东伦敦大学/University of East London</t>
        </is>
      </c>
      <c r="B170" t="inlineStr">
        <is>
          <t>英国</t>
        </is>
      </c>
      <c r="C170" t="inlineStr">
        <is>
          <t>伦敦</t>
        </is>
      </c>
      <c r="D170" t="inlineStr">
        <is>
          <t>大学研究机构</t>
        </is>
      </c>
      <c r="E170" t="inlineStr">
        <is>
          <t>教育</t>
        </is>
      </c>
      <c r="F170" t="inlineStr">
        <is>
          <t>伦敦市，E16 2RD，英国</t>
        </is>
      </c>
      <c r="G170" s="2" t="str">
        <f>=HYPERLINK("https://www.uel.ac.uk/", "https://www.uel.ac.uk/")</f>
        <v>https://www.uel.ac.uk/</v>
      </c>
      <c r="H170" t="inlineStr">
        <is>
          <t>东伦敦大学成立于1992年，位于英国伦敦的东部。学校提供广泛的本科和研究生课程，特别注重与行业的合作以及实践型学习。东伦敦大学致力于为学生提供现代化的教育，并在科技、艺术、商科等领域具有一定的优势。</t>
        </is>
      </c>
      <c r="I170" t="inlineStr">
        <is>
          <t>Bilyaminu Auwal Romo</t>
        </is>
      </c>
      <c r="J170"/>
      <c r="K170"/>
      <c r="L170" s="2" t="str">
        <f>=HYPERLINK("mailto:B.Auwal@uel.ac.uk", "B.Auwal@uel.ac.uk")</f>
        <v>B.Auwal@uel.ac.uk</v>
      </c>
      <c r="M170" t="inlineStr">
        <is>
          <t>+44(0)20 8223 7753</t>
        </is>
      </c>
      <c r="N170" s="3">
        <v>45965</v>
      </c>
      <c r="O170" t="inlineStr">
        <is>
          <t>已联系未回复</t>
        </is>
      </c>
      <c r="P170"/>
      <c r="Q170" t="inlineStr">
        <is>
          <t>上海第二工业大学英国伦敦及周边</t>
        </is>
      </c>
      <c r="R170"/>
      <c r="S170"/>
      <c r="T170"/>
    </row>
    <row r="171" ht="25.5" customHeight="1">
      <c r="A171" t="inlineStr">
        <is>
          <t>东伦敦大学/University of East London</t>
        </is>
      </c>
      <c r="B171" t="inlineStr">
        <is>
          <t>英国</t>
        </is>
      </c>
      <c r="C171" t="inlineStr">
        <is>
          <t>伦敦</t>
        </is>
      </c>
      <c r="D171" t="inlineStr">
        <is>
          <t>大学研究机构</t>
        </is>
      </c>
      <c r="E171" t="inlineStr">
        <is>
          <t>教育</t>
        </is>
      </c>
      <c r="F171" t="inlineStr">
        <is>
          <t>伦敦市，E16 2RD，英国</t>
        </is>
      </c>
      <c r="G171" s="2" t="str">
        <f>=HYPERLINK("https://www.uel.ac.uk/", "https://www.uel.ac.uk/")</f>
        <v>https://www.uel.ac.uk/</v>
      </c>
      <c r="H171" t="inlineStr">
        <is>
          <t>东伦敦大学成立于1992年，位于英国伦敦的东部。学校提供广泛的本科和研究生课程，特别注重与行业的合作以及实践型学习。东伦敦大学致力于为学生提供现代化的教育，并在科技、艺术、商科等领域具有一定的优势。</t>
        </is>
      </c>
      <c r="I171" t="inlineStr">
        <is>
          <t>Alex Apeagyei</t>
        </is>
      </c>
      <c r="J171"/>
      <c r="K171"/>
      <c r="L171" s="2" t="str">
        <f>=HYPERLINK("mailto:A.Apeagyei@uel.ac.uk", "A.Apeagyei@uel.ac.uk")</f>
        <v>A.Apeagyei@uel.ac.uk</v>
      </c>
      <c r="M171" t="inlineStr">
        <is>
          <t>+44(0)20 8223 2361</t>
        </is>
      </c>
      <c r="N171" s="3">
        <v>45965</v>
      </c>
      <c r="O171" t="inlineStr">
        <is>
          <t>已联系未回复</t>
        </is>
      </c>
      <c r="P171"/>
      <c r="Q171" t="inlineStr">
        <is>
          <t>上海第二工业大学英国伦敦及周边</t>
        </is>
      </c>
      <c r="R171"/>
      <c r="S171"/>
      <c r="T171"/>
    </row>
    <row r="172" ht="25.5" customHeight="1">
      <c r="A172" t="inlineStr">
        <is>
          <t>德国工商大会（DIHK / IHK）</t>
        </is>
      </c>
      <c r="B172" t="inlineStr">
        <is>
          <t>德国</t>
        </is>
      </c>
      <c r="C172" t="inlineStr">
        <is>
          <t>柏林</t>
        </is>
      </c>
      <c r="D172" t="inlineStr">
        <is>
          <t>商协会</t>
        </is>
      </c>
      <c r="E172" t="inlineStr">
        <is>
          <t>商会协会</t>
        </is>
      </c>
      <c r="F172" t="inlineStr">
        <is>
          <t>德国柏林，Breite街29号，邮政编码10178</t>
        </is>
      </c>
      <c r="G172" s="2" t="str">
        <f>=HYPERLINK("https://www.dihk.de/", "https://www.dihk.de/")</f>
        <v>https://www.dihk.de/</v>
      </c>
      <c r="H172" t="inlineStr">
        <is>
          <t>德国工商大会 (DIHK) 代表德国整个商业领域。其成员包括 79 个地方工商会 (IHK)，涵盖数百万家来自工业、贸易和服务业的企业，服务对象从小型企业到跨国公司。DIHK 在德国及欧洲的政治、行政和公共事务中代表这些企业，致力于为商业创造有利条件，如推动自由贸易、减少行政壁垒和促进高速互联网的普及。</t>
        </is>
      </c>
      <c r="I172"/>
      <c r="J172"/>
      <c r="K172"/>
      <c r="L172" s="2" t="str">
        <f>=HYPERLINK("mailto:info@dihk.de", "info@dihk.de")</f>
        <v>info@dihk.de</v>
      </c>
      <c r="M172" t="inlineStr">
        <is>
          <t>+49 30 203080</t>
        </is>
      </c>
      <c r="N172" s="3"/>
      <c r="O172" t="inlineStr">
        <is>
          <t>未联系</t>
        </is>
      </c>
      <c r="P172"/>
      <c r="Q172" t="inlineStr">
        <is>
          <t>通州湾德国团组</t>
        </is>
      </c>
      <c r="R172"/>
      <c r="S172"/>
      <c r="T172"/>
    </row>
    <row r="173" ht="25.5" customHeight="1">
      <c r="A173" t="inlineStr">
        <is>
          <t>法兰克福商会（IHK Frankfurt）</t>
        </is>
      </c>
      <c r="B173" t="inlineStr">
        <is>
          <t>德国</t>
        </is>
      </c>
      <c r="C173" t="inlineStr">
        <is>
          <t>法兰克福</t>
        </is>
      </c>
      <c r="D173" t="inlineStr">
        <is>
          <t>行业协会</t>
        </is>
      </c>
      <c r="E173" t="inlineStr">
        <is>
          <t>商会协会</t>
        </is>
      </c>
      <c r="F173" t="inlineStr">
        <is>
          <t>德国法兰克福，Börsenplatz广场4号，邮政编码60313</t>
        </is>
      </c>
      <c r="G173" s="2" t="str">
        <f>=HYPERLINK("https://www.frankfurt-main.ihk.de/?utm_source=chatgpt.com", "https://www.frankfurt-main.ihk.de/?utm_source=chatgpt.com")</f>
        <v>https://www.frankfurt-main.ihk.de/?utm_source=chatgpt.com</v>
      </c>
      <c r="H173" t="inlineStr">
        <is>
          <t>法兰克福商会 (IHK Frankfurt) 是德国经济和商业的重要平台，服务于法兰克福及周边地区的企业，尤其是中小型企业。该商会致力于促进企业发展，提供从国际贸易到人才培训等多方面的服务。商会还通过项目和服务促进与中国的合作，特别是在金融、技术和进出口领域。</t>
        </is>
      </c>
      <c r="I173"/>
      <c r="J173"/>
      <c r="K173"/>
      <c r="L173" s="2" t="str">
        <f>=HYPERLINK("mailto:info@frankfurt-main.ihk24.de", "info@frankfurt-main.ihk24.de")</f>
        <v>info@frankfurt-main.ihk24.de</v>
      </c>
      <c r="M173" t="inlineStr">
        <is>
          <t>+49 69 2197-0</t>
        </is>
      </c>
      <c r="N173" s="3"/>
      <c r="O173" t="inlineStr">
        <is>
          <t>未联系</t>
        </is>
      </c>
      <c r="P173"/>
      <c r="Q173" t="inlineStr">
        <is>
          <t>通州湾德国团组</t>
        </is>
      </c>
      <c r="R173"/>
      <c r="S173"/>
      <c r="T173"/>
    </row>
    <row r="174" ht="25.5" customHeight="1">
      <c r="A174" t="inlineStr">
        <is>
          <t>法兰克福科技园（TechQuartier）</t>
        </is>
      </c>
      <c r="B174" t="inlineStr">
        <is>
          <t>德国</t>
        </is>
      </c>
      <c r="C174" t="inlineStr">
        <is>
          <t>法兰克福</t>
        </is>
      </c>
      <c r="D174" t="inlineStr">
        <is>
          <t>科技园区 / 创新中心</t>
        </is>
      </c>
      <c r="E174" t="inlineStr">
        <is>
          <t>新一代信息技术</t>
        </is>
      </c>
      <c r="F174" t="inlineStr">
        <is>
          <t>德国法兰克福，Einheit广场2号，邮政编码60327</t>
        </is>
      </c>
      <c r="G174" s="2" t="str">
        <f>=HYPERLINK("https://techquartier.com/", "https://techquartier.com/")</f>
        <v>https://techquartier.com/</v>
      </c>
      <c r="H174" t="inlineStr">
        <is>
          <t>法兰克福科技园 (TechQuartier) 是一个创新和金融科技中心，旨在推动初创企业的快速发展，并为企业提供技术创新、市场拓展、投资支持等服务。该园区积极推动与中国金融科技公司和创新企业的合作，尤其是在数字支付、区块链和人工智能等领域。</t>
        </is>
      </c>
      <c r="I174"/>
      <c r="J174"/>
      <c r="K174"/>
      <c r="L174" s="2" t="str">
        <f>=HYPERLINK("mailto:info@techquartier.com", "info@techquartier.com")</f>
        <v>info@techquartier.com</v>
      </c>
      <c r="M174" t="inlineStr">
        <is>
          <t>+49 69 247 470 710
+49 69 8700 4880</t>
        </is>
      </c>
      <c r="N174" s="3"/>
      <c r="O174" t="inlineStr">
        <is>
          <t>未联系</t>
        </is>
      </c>
      <c r="P174"/>
      <c r="Q174" t="inlineStr">
        <is>
          <t>通州湾德国团组</t>
        </is>
      </c>
      <c r="R174"/>
      <c r="S174"/>
      <c r="T174"/>
    </row>
    <row r="175" ht="25.5" customHeight="1">
      <c r="A175" t="inlineStr">
        <is>
          <t>法兰克福国际金融中心（Frankfurt Main Finance）</t>
        </is>
      </c>
      <c r="B175" t="inlineStr">
        <is>
          <t>德国</t>
        </is>
      </c>
      <c r="C175" t="inlineStr">
        <is>
          <t>法兰克福</t>
        </is>
      </c>
      <c r="D175" t="inlineStr">
        <is>
          <t>协会</t>
        </is>
      </c>
      <c r="E175" t="inlineStr">
        <is>
          <t>商业金融</t>
        </is>
      </c>
      <c r="F175" t="inlineStr">
        <is>
          <t>德国法兰克福，Walther-von-Cronberg广场16号，邮政编码60594</t>
        </is>
      </c>
      <c r="G175" s="2" t="str">
        <f>=HYPERLINK("https://frankfurt-main-finance.com/en/", "https://frankfurt-main-finance.com/en/")</f>
        <v>https://frankfurt-main-finance.com/en/</v>
      </c>
      <c r="H175" t="inlineStr">
        <is>
          <t>法兰克福国际金融中心 (Frankfurt Main Finance) 是一个致力于促进法兰克福作为全球金融中心的机构，目标是增强该市的国际竞争力，吸引更多的外资和国际企业。它不仅涉及传统的银行和金融服务，还关注创新金融技术和数字化转型，特别是在绿色金融和可持续发展方面的合作。</t>
        </is>
      </c>
      <c r="I175"/>
      <c r="J175"/>
      <c r="K175"/>
      <c r="L175" s="2" t="str">
        <f>=HYPERLINK("mailto:info@frankfurt-main-finance.com", "info@frankfurt-main-finance.com")</f>
        <v>info@frankfurt-main-finance.com</v>
      </c>
      <c r="M175" t="inlineStr">
        <is>
          <t>+49 69 213 40 333</t>
        </is>
      </c>
      <c r="N175" s="3"/>
      <c r="O175" t="inlineStr">
        <is>
          <t>未联系</t>
        </is>
      </c>
      <c r="P175"/>
      <c r="Q175" t="inlineStr">
        <is>
          <t>通州湾德国团组</t>
        </is>
      </c>
      <c r="R175"/>
      <c r="S175"/>
      <c r="T175"/>
    </row>
    <row r="176" ht="25.5" customHeight="1">
      <c r="A176" t="inlineStr">
        <is>
          <t>德国贸易与投资署（GTAI）</t>
        </is>
      </c>
      <c r="B176" t="inlineStr">
        <is>
          <t>德国</t>
        </is>
      </c>
      <c r="C176" t="inlineStr">
        <is>
          <t>柏林总部，波恩分部</t>
        </is>
      </c>
      <c r="D176" t="inlineStr">
        <is>
          <t>政府机构</t>
        </is>
      </c>
      <c r="E176" t="inlineStr">
        <is>
          <t>政府</t>
        </is>
      </c>
      <c r="F176" t="inlineStr">
        <is>
          <t>德国柏林，Friedrich大街60号，邮政编码10117</t>
        </is>
      </c>
      <c r="G176" s="2" t="str">
        <f>=HYPERLINK("https://www.gtai.de/cn/invest", "https://www.gtai.de/cn/invest")</f>
        <v>https://www.gtai.de/cn/invest</v>
      </c>
      <c r="H176" t="inlineStr">
        <is>
          <t>德国贸易与投资署 (GTAI) 是德国联邦政府的官方贸易与投资促进机构，旨在推动外国投资者进入德国市场，并促进德国企业的国际化。GTAI 提供全面的市场信息和政策支持，帮助外国企业了解德国的商业环境。它与中国有着紧密的合作，特别是在制造业、科技创新和环保技术等领域。</t>
        </is>
      </c>
      <c r="I176"/>
      <c r="J176"/>
      <c r="K176"/>
      <c r="L176" s="2" t="str">
        <f>=HYPERLINK("mailto:info@gtai.de", "info@gtai.de")</f>
        <v>info@gtai.de</v>
      </c>
      <c r="M176" t="inlineStr">
        <is>
          <t>+49 30 200 099-0</t>
        </is>
      </c>
      <c r="N176" s="3"/>
      <c r="O176" t="inlineStr">
        <is>
          <t>未联系</t>
        </is>
      </c>
      <c r="P176"/>
      <c r="Q176" t="inlineStr">
        <is>
          <t>通州湾德国团组</t>
        </is>
      </c>
      <c r="R176"/>
      <c r="S176"/>
      <c r="T176"/>
    </row>
    <row r="177" ht="25.5" customHeight="1">
      <c r="A177" t="inlineStr">
        <is>
          <t>法兰克福展览公司（Messe Frankfurt）</t>
        </is>
      </c>
      <c r="B177" t="inlineStr">
        <is>
          <t>德国</t>
        </is>
      </c>
      <c r="C177" t="inlineStr">
        <is>
          <t>法兰克福</t>
        </is>
      </c>
      <c r="D177" t="inlineStr">
        <is>
          <t>展览主办机构</t>
        </is>
      </c>
      <c r="E177" t="inlineStr">
        <is>
          <t>商业会展</t>
        </is>
      </c>
      <c r="F177" t="inlineStr">
        <is>
          <t>德国法兰克福，Ludwig-Erhard广场1号，邮政编码60327</t>
        </is>
      </c>
      <c r="G177" s="2" t="str">
        <f>=HYPERLINK("https://www.messefrankfurt.com/frankfurt/en.html?utm_source=chatgpt.com", "https://www.messefrankfurt.com/frankfurt/en.html?utm_source=chatgpt.com")</f>
        <v>https://www.messefrankfurt.com/frankfurt/en.html?utm_source=chatgpt.com</v>
      </c>
      <c r="H177" t="inlineStr">
        <is>
          <t>法兰克福展览公司是全球最大的展会和会议组织之一，每年组织数百场展会，吸引全球企业和参展商。法兰克福展览公司为中德企业提供一个重要的展示和交流平台，涵盖从汽车、技术、文化到金融等多个行业。</t>
        </is>
      </c>
      <c r="I177"/>
      <c r="J177"/>
      <c r="K177"/>
      <c r="L177" s="2" t="str">
        <f>=HYPERLINK("mailto:info@messefrankfurt.com", "info@messefrankfurt.com")</f>
        <v>info@messefrankfurt.com</v>
      </c>
      <c r="M177" t="inlineStr">
        <is>
          <t>+49 69 75 75-0</t>
        </is>
      </c>
      <c r="N177" s="3"/>
      <c r="O177" t="inlineStr">
        <is>
          <t>未联系</t>
        </is>
      </c>
      <c r="P177"/>
      <c r="Q177" t="inlineStr">
        <is>
          <t>通州湾德国团组</t>
        </is>
      </c>
      <c r="R177"/>
      <c r="S177"/>
      <c r="T177"/>
    </row>
    <row r="178" ht="25.5" customHeight="1">
      <c r="A178" t="inlineStr">
        <is>
          <t>法兰克福歌德大学（Goethe University Frankfurt）</t>
        </is>
      </c>
      <c r="B178" t="inlineStr">
        <is>
          <t>德国</t>
        </is>
      </c>
      <c r="C178" t="inlineStr">
        <is>
          <t>法兰克福</t>
        </is>
      </c>
      <c r="D178" t="inlineStr">
        <is>
          <t>公立大学</t>
        </is>
      </c>
      <c r="E178" t="inlineStr">
        <is>
          <t>教育</t>
        </is>
      </c>
      <c r="F178" t="inlineStr">
        <is>
          <t>德国法兰克福，Theodor-W.-Adorno广场1号，邮政编码60323</t>
        </is>
      </c>
      <c r="G178" s="2" t="str">
        <f>=HYPERLINK("https://www.goethe-university-frankfurt.de/en", "https://www.goethe-university-frankfurt.de/en")</f>
        <v>https://www.goethe-university-frankfurt.de/en</v>
      </c>
      <c r="H178" t="inlineStr">
        <is>
          <t>法兰克福歌德大学（Goethe University Frankfurt）是德国一所领先的高等学府，提供从本科到博士研究的广泛学术课程，尤其在经济学、社会学、法学和金融学领域有着显著的影响力。法兰克福大学与中国的多个大学和研究机构有广泛的合作，涉及学术交流、联合研究和学术项目等方面。</t>
        </is>
      </c>
      <c r="I178"/>
      <c r="J178"/>
      <c r="K178"/>
      <c r="L178" s="2" t="str">
        <f>=HYPERLINK("mailto:welcome@uni-frankfurt.de", "welcome@uni-frankfurt.de")</f>
        <v>welcome@uni-frankfurt.de</v>
      </c>
      <c r="M178" t="inlineStr">
        <is>
          <t>+49 611 95017 85</t>
        </is>
      </c>
      <c r="N178" s="3"/>
      <c r="O178" t="inlineStr">
        <is>
          <t>未联系</t>
        </is>
      </c>
      <c r="P178"/>
      <c r="Q178" t="inlineStr">
        <is>
          <t>通州湾德国团组</t>
        </is>
      </c>
      <c r="R178"/>
      <c r="S178"/>
      <c r="T178"/>
    </row>
    <row r="179" ht="25.5" customHeight="1">
      <c r="A179" t="inlineStr">
        <is>
          <t>黑森贸易与投资署 (Hessen Trade &amp; Invest GmbH)</t>
        </is>
      </c>
      <c r="B179" t="inlineStr">
        <is>
          <t>德国</t>
        </is>
      </c>
      <c r="C179" t="inlineStr">
        <is>
          <t>威斯巴登</t>
        </is>
      </c>
      <c r="D179" t="inlineStr">
        <is>
          <t>政府机构</t>
        </is>
      </c>
      <c r="E179" t="inlineStr">
        <is>
          <t>政府</t>
        </is>
      </c>
      <c r="F179" t="inlineStr">
        <is>
          <t>德国威斯巴登，Mainzer大街118号，邮政编码65189</t>
        </is>
      </c>
      <c r="G179" s="2" t="str">
        <f>=HYPERLINK("https://www.invest-in-hessen.de/?utm_source=chatgpt.com", "https://www.invest-in-hessen.de/?utm_source=chatgpt.com")</f>
        <v>https://www.invest-in-hessen.de/?utm_source=chatgpt.com</v>
      </c>
      <c r="H179" t="inlineStr">
        <is>
          <t>黑森贸易与投资署 （HTAI）是黑森州政府下属的官方经济与创新促进机构，负责推动本州在投资、贸易、技术创新及可持续发展等领域的国际合作与经济增长。HTAI 在吸引外资、支持本地企业国际化、科技创新及产业转型方面发挥核心作用。</t>
        </is>
      </c>
      <c r="I179"/>
      <c r="J179"/>
      <c r="K179"/>
      <c r="L179" s="2" t="str">
        <f>=HYPERLINK("mailto:info@fgb.org", "info@fgb.org")</f>
        <v>info@fgb.org</v>
      </c>
      <c r="M179" t="inlineStr">
        <is>
          <t>+49 69 96 74 84-0</t>
        </is>
      </c>
      <c r="N179" s="3"/>
      <c r="O179" t="inlineStr">
        <is>
          <t>未联系</t>
        </is>
      </c>
      <c r="P179"/>
      <c r="Q179" t="inlineStr">
        <is>
          <t>通州湾德国团组</t>
        </is>
      </c>
      <c r="R179"/>
      <c r="S179"/>
      <c r="T179"/>
    </row>
    <row r="180" ht="25.5" customHeight="1">
      <c r="A180" t="inlineStr">
        <is>
          <t>德国化学工业协会（VCI）</t>
        </is>
      </c>
      <c r="B180" t="inlineStr">
        <is>
          <t>德国</t>
        </is>
      </c>
      <c r="C180" t="inlineStr">
        <is>
          <t>法兰克福</t>
        </is>
      </c>
      <c r="D180" t="inlineStr">
        <is>
          <t>行业协会</t>
        </is>
      </c>
      <c r="E180" t="inlineStr">
        <is>
          <t>商会协会</t>
        </is>
      </c>
      <c r="F180" t="inlineStr">
        <is>
          <t>德国法兰克福，Mainzer Land大街55号，邮政编码60329</t>
        </is>
      </c>
      <c r="G180" s="2" t="str">
        <f>=HYPERLINK("https://www.vci.de/startseite.jsp", "https://www.vci.de/startseite.jsp")</f>
        <v>https://www.vci.de/startseite.jsp</v>
      </c>
      <c r="H180" t="inlineStr">
        <is>
          <t>德国化学工业协会 (VCI) 是德国化学行业的代表性组织，涵盖从化学原材料到制药、能源等多个领域。该协会与中国的化学工业企业有广泛合作，特别是在环保、化学品贸易和创新领域。</t>
        </is>
      </c>
      <c r="I180"/>
      <c r="J180"/>
      <c r="K180"/>
      <c r="L180" s="2" t="str">
        <f>=HYPERLINK("mailto:info@vci.de", "info@vci.de")</f>
        <v>info@vci.de</v>
      </c>
      <c r="M180" t="inlineStr">
        <is>
          <t>+49 69 2556-0</t>
        </is>
      </c>
      <c r="N180" s="3"/>
      <c r="O180" t="inlineStr">
        <is>
          <t>未联系</t>
        </is>
      </c>
      <c r="P180"/>
      <c r="Q180" t="inlineStr">
        <is>
          <t>通州湾德国团组</t>
        </is>
      </c>
      <c r="R180"/>
      <c r="S180"/>
      <c r="T180"/>
    </row>
    <row r="181" ht="25.5" customHeight="1">
      <c r="A181" t="inlineStr">
        <is>
          <t>德国信息技术协会（Bitkom）</t>
        </is>
      </c>
      <c r="B181" t="inlineStr">
        <is>
          <t>德国</t>
        </is>
      </c>
      <c r="C181" t="inlineStr">
        <is>
          <t>柏林</t>
        </is>
      </c>
      <c r="D181" t="inlineStr">
        <is>
          <t>协会</t>
        </is>
      </c>
      <c r="E181" t="inlineStr">
        <is>
          <t>新一代信息技术</t>
        </is>
      </c>
      <c r="F181" t="inlineStr">
        <is>
          <t>德国柏林-米特区，lbrecht大街10号，邮政编码10117</t>
        </is>
      </c>
      <c r="G181" s="2" t="str">
        <f>=HYPERLINK("https://www.bitkom.org/", "https://www.bitkom.org/")</f>
        <v>https://www.bitkom.org/</v>
      </c>
      <c r="H181" t="inlineStr">
        <is>
          <t>Bitkom 是德国信息技术、通信和新媒体的主要行业协会，代表着德国 ICT 行业的利益，推动数字化转型和创新。它与中国的科技公司和政府部门在数字技术、信息通信技术、人工智能等领域有深入合作。</t>
        </is>
      </c>
      <c r="I181"/>
      <c r="J181"/>
      <c r="K181"/>
      <c r="L181" s="2" t="str">
        <f>=HYPERLINK("mailto:info@bitkom.org", "info@bitkom.org")</f>
        <v>info@bitkom.org</v>
      </c>
      <c r="M181" t="inlineStr">
        <is>
          <t>+49 30 27576-0</t>
        </is>
      </c>
      <c r="N181" s="3"/>
      <c r="O181" t="inlineStr">
        <is>
          <t>未联系</t>
        </is>
      </c>
      <c r="P181"/>
      <c r="Q181" t="inlineStr">
        <is>
          <t>通州湾德国团组</t>
        </is>
      </c>
      <c r="R181"/>
      <c r="S181"/>
      <c r="T181"/>
    </row>
    <row r="182" ht="25.5" customHeight="1">
      <c r="A182" t="inlineStr">
        <is>
          <t>沙迦美国大学（American University of Sharjah, （AUS））</t>
        </is>
      </c>
      <c r="B182" t="inlineStr">
        <is>
          <t>阿联酋</t>
        </is>
      </c>
      <c r="C182" t="inlineStr">
        <is>
          <t>沙迦</t>
        </is>
      </c>
      <c r="D182" t="inlineStr">
        <is>
          <t>高校</t>
        </is>
      </c>
      <c r="E182" t="inlineStr">
        <is>
          <t>教育</t>
        </is>
      </c>
      <c r="F182" t="inlineStr">
        <is>
          <t>阿联酋沙迦，大学城</t>
        </is>
      </c>
      <c r="G182" s="2" t="str">
        <f>=HYPERLINK("https://www.aus.edu/?utm_source=chatgpt.com", "https://www.aus.edu/?utm_source=chatgpt.com")</f>
        <v>https://www.aus.edu/?utm_source=chatgpt.com</v>
      </c>
      <c r="H182" t="inlineStr">
        <is>
          <t>由沙迦酋长创办，是一所采用美国教育体系、全英语教学的私立国际化大学。学生来自90+ 个国家。设有建筑、艺术设计、工程、商科、文理学院等多个学院，并提供本科、硕士、博士课程。校方强调国际师资、研究导向及多元文化校园生活。</t>
        </is>
      </c>
      <c r="I182" t="inlineStr">
        <is>
          <t>Dr.Salah Brahimi</t>
        </is>
      </c>
      <c r="J182" t="inlineStr">
        <is>
          <t>对外关系副校长兼教授</t>
        </is>
      </c>
      <c r="K182"/>
      <c r="L182" s="2" t="str">
        <f>=HYPERLINK("mailto:sbrahimi@aus.edu", "sbrahimi@aus.edu")</f>
        <v>sbrahimi@aus.edu</v>
      </c>
      <c r="M182"/>
      <c r="N182" s="3">
        <v>45973</v>
      </c>
      <c r="O182" t="inlineStr">
        <is>
          <t>可长期合作</t>
        </is>
      </c>
      <c r="P182" t="inlineStr">
        <is>
          <t>与其助理对接（Omaia Al Rawi/邮箱：oalrawi@aus.edu）已发邀请函-项目暂停-对方表示期待未来其他可能的合作</t>
        </is>
      </c>
      <c r="Q182" t="inlineStr">
        <is>
          <t>南通市阿联酋团组</t>
        </is>
      </c>
      <c r="R182"/>
      <c r="S182" t="inlineStr">
        <is>
          <t>合作方向：
1. 学生短期交流与学期访学：组织中国学生赴AUS进行一学期或一学年的学分课程学习，或参与暑期学校，体验美式教育与中东文化。
2. 教师教学发展与短期培训：选派中国高校教师赴AUS进行教学法、课程设计等方面的短期研修或工作坊。
3. 联合学术研讨会与工作坊：针对共同感兴趣的学科领域，共同举办线上或线下的小型学术研讨会、讲座系列。
4. 艺术与文化交流项目：利用AUS在建筑、设计、艺术方面的优势，合作举办学生作品联展、文化周等主题活动。
5. “3+1”或“2+2”本科双学位/联合培养项目探索：在工程、建筑、工商管理等双方强势学科，探讨可行的学生联合培养路径。
合作领域：
核心领域（优势学科）：工程学（尤其是土木、机械、化学工程）、建筑与设计、工商管理。
高潜力领域：英语及语言学、通识教育、中东文化与区域研究。
合作特点：合作可依托其成熟的美式课程体系、全英语教学环境及中东区位特色，项目设计规范，学术对接清晰。</t>
        </is>
      </c>
      <c r="T182"/>
    </row>
    <row r="183" ht="25.5" customHeight="1">
      <c r="A183" t="inlineStr">
        <is>
          <t>阿布扎比大学（Abu Dhabi University (ADU)）</t>
        </is>
      </c>
      <c r="B183" t="inlineStr">
        <is>
          <t>阿联酋</t>
        </is>
      </c>
      <c r="C183" t="inlineStr">
        <is>
          <t>阿布扎比</t>
        </is>
      </c>
      <c r="D183" t="inlineStr">
        <is>
          <t>高校</t>
        </is>
      </c>
      <c r="E183" t="inlineStr">
        <is>
          <t>教育</t>
        </is>
      </c>
      <c r="F183" t="inlineStr">
        <is>
          <t>阿联酋阿布扎比，哈利法城市</t>
        </is>
      </c>
      <c r="G183" s="2" t="str">
        <f>=HYPERLINK("https://www.adu.ac.ae/?utm_source=chatgpt.com", "https://www.adu.ac.ae/?utm_source=chatgpt.com")</f>
        <v>https://www.adu.ac.ae/?utm_source=chatgpt.com</v>
      </c>
      <c r="H183" t="inlineStr">
        <is>
          <t>是阿联酋规模最大的私立大学之一，主校区在阿布扎比，同时在阿莱因、迪拜设有校区。开设艺术与科学、工程、商学、法学、健康科学等学院。学生来自100+ 个国籍，具备多项国际认证。</t>
        </is>
      </c>
      <c r="I183" t="inlineStr">
        <is>
          <t>Prof. Sherine Farouk</t>
        </is>
      </c>
      <c r="J183" t="inlineStr">
        <is>
          <t>国际事务副教务长</t>
        </is>
      </c>
      <c r="K183"/>
      <c r="L183" s="2" t="str">
        <f>=HYPERLINK("mailto:global@adu.ac.ae", "global@adu.ac.ae")</f>
        <v>global@adu.ac.ae</v>
      </c>
      <c r="M183"/>
      <c r="N183" s="3">
        <v>45973</v>
      </c>
      <c r="O183" t="inlineStr">
        <is>
          <t>推进中</t>
        </is>
      </c>
      <c r="P183" t="inlineStr">
        <is>
          <t>领英未回复</t>
        </is>
      </c>
      <c r="Q183" t="inlineStr">
        <is>
          <t>南通市阿联酋团组</t>
        </is>
      </c>
      <c r="R183"/>
      <c r="S183"/>
      <c r="T183"/>
    </row>
    <row r="184" ht="25.5" customHeight="1">
      <c r="A184" t="inlineStr">
        <is>
          <t>沙迦大学（University of Sharjah (UoS)）</t>
        </is>
      </c>
      <c r="B184" t="inlineStr">
        <is>
          <t>阿联酋</t>
        </is>
      </c>
      <c r="C184" t="inlineStr">
        <is>
          <t>阿曼</t>
        </is>
      </c>
      <c r="D184" t="inlineStr">
        <is>
          <t>高校</t>
        </is>
      </c>
      <c r="E184" t="inlineStr">
        <is>
          <t>教育</t>
        </is>
      </c>
      <c r="F184" t="inlineStr">
        <is>
          <t>阿联酋沙迦，大学城路，大学城</t>
        </is>
      </c>
      <c r="G184" s="2" t="str">
        <f>=HYPERLINK("https://www.sharjah.ac.ae/?utm_source=chatgpt.com", "https://www.sharjah.ac.ae/?utm_source=chatgpt.com")</f>
        <v>https://www.sharjah.ac.ae/?utm_source=chatgpt.com</v>
      </c>
      <c r="H184" t="inlineStr">
        <is>
          <t>由沙迦酋长支持，是一所公立综合型大学。拥有多个校区（包括沙迦市内、卡尔巴、迪巴等），设有医学、工程、法学、人文社科、商科等学院。注重教学质量、实习与就业链接。</t>
        </is>
      </c>
      <c r="I184" t="inlineStr">
        <is>
          <t>Dr. Moza Alsuwaidi</t>
        </is>
      </c>
      <c r="J184" t="inlineStr">
        <is>
          <t>国际事务部高级行政助理</t>
        </is>
      </c>
      <c r="K184"/>
      <c r="L184" s="2" t="str">
        <f>=HYPERLINK("mailto:malsuwaidi@sharjah.ac.ae", "malsuwaidi@sharjah.ac.ae")</f>
        <v>malsuwaidi@sharjah.ac.ae</v>
      </c>
      <c r="M184"/>
      <c r="N184" s="3">
        <v>45973</v>
      </c>
      <c r="O184" t="inlineStr">
        <is>
          <t>已联系已回复</t>
        </is>
      </c>
      <c r="P184" t="inlineStr">
        <is>
          <t>明确回复本次出访时间不合适</t>
        </is>
      </c>
      <c r="Q184" t="inlineStr">
        <is>
          <t>南通市阿联酋团组</t>
        </is>
      </c>
      <c r="R184"/>
      <c r="S184" t="inlineStr">
        <is>
          <t>合作方向：
1. 政府与高校综合型学术代表团访问：组织中国地方政府、教育主管部门及综合性大学的因公出访团组，进行校级战略对话，全面考察其综合学科建设、科研管理体系的独特优势，探讨建立全面校际合作框架。
2. 优势学科深度合作与联合研究：重点在 “医学与健康科学（尤其是传统医学与现代医学结合）、工程与技术（如石油工程、土木工程）” 等领域，推动共建联合实验室、开展合作研究及学者互访。
3. 学生交换与联合培养项目：签署学生交换协议，支持中国学生赴UoS学习阿拉伯语、伊斯兰文化或优势理工科专业；同时探索开设面向UoS学生的中文与中国研究课程，促进双向文化交流。
4. 医药卫生与公共卫生管理培训：利用其顶尖的医学院及附属医院资源，为中国医疗卫生系统的管理人员、医生及研究人员提供关于医疗体系、医院管理、公共卫生政策及特定疾病研究的短期专项培训。
5. 文化遗产保护与博物馆管理交流：结合其深厚的文化底蕴与相关学科，与中国文博机构合作，开展在文化遗产保护技术、博物馆策展与管理、古籍修复等领域的专业交流与培训。
合作领域：
核心领域：医学与健康科学、工程学（石油、土木、电气）、阿拉伯语与伊斯兰研究、法律与社会科学。
特色领域：传统阿拉伯医学、石油与能源研究、考古与文化遗产、干旱地区环境科学。
合作特点：合作彰显 “综合性学术实力与深厚的区域文化根基相结合” 。UoS不仅提供现代学科教育，更是阿拉伯学术与文化传统的重镇，合作兼具 “学术前沿性、文化独特性和区域代表性”</t>
        </is>
      </c>
      <c r="T184"/>
    </row>
    <row r="185" ht="25.5" customHeight="1">
      <c r="A185" t="inlineStr">
        <is>
          <t>扎耶德大学（Zayed University (ZU)）</t>
        </is>
      </c>
      <c r="B185" t="inlineStr">
        <is>
          <t>阿联酋</t>
        </is>
      </c>
      <c r="C185" t="inlineStr">
        <is>
          <t>阿布扎比</t>
        </is>
      </c>
      <c r="D185" t="inlineStr">
        <is>
          <t>高校</t>
        </is>
      </c>
      <c r="E185" t="inlineStr">
        <is>
          <t>教育</t>
        </is>
      </c>
      <c r="F185" t="inlineStr">
        <is>
          <t>阿联酋阿布扎比，扎耶德城，阿布扎比校区；阿联酋迪拜，阿鲁维耶，学术城，迪拜校区</t>
        </is>
      </c>
      <c r="G185" s="2" t="str">
        <f>=HYPERLINK("https://www.zu.ac.ae/?utm_source=chatgpt.com", "https://www.zu.ac.ae/?utm_source=chatgpt.com")</f>
        <v>https://www.zu.ac.ae/?utm_source=chatgpt.com</v>
      </c>
      <c r="H185" t="inlineStr">
        <is>
          <t>以阿联酋建国者 Zayed bin Sultan Al Nahyan 命名，在阿布扎比和迪拜设有校区。为国家级大学，定位于服务国家发展、国际化人才培养，教学以英语为主，双语（英-阿）能力为学生重要培养目标。</t>
        </is>
      </c>
      <c r="I185"/>
      <c r="J185" t="inlineStr">
        <is>
          <t>总邮箱</t>
        </is>
      </c>
      <c r="K185"/>
      <c r="L185" s="2" t="str">
        <f>=HYPERLINK("mailto:solveig.nicklos@zu.ac.ae", "solveig.nicklos@zu.ac.ae")</f>
        <v>solveig.nicklos@zu.ac.ae</v>
      </c>
      <c r="M185"/>
      <c r="N185" s="3">
        <v>45973</v>
      </c>
      <c r="O185" t="inlineStr">
        <is>
          <t>已联系未回复</t>
        </is>
      </c>
      <c r="P185"/>
      <c r="Q185" t="inlineStr">
        <is>
          <t>南通市阿联酋团组</t>
        </is>
      </c>
      <c r="R185"/>
      <c r="S185"/>
      <c r="T185"/>
    </row>
    <row r="186" ht="25.5" customHeight="1">
      <c r="A186" t="inlineStr">
        <is>
          <t>哈利法科学技术大学（Khalifa University of Science and Technology (KU)）</t>
        </is>
      </c>
      <c r="B186" t="inlineStr">
        <is>
          <t>阿联酋</t>
        </is>
      </c>
      <c r="C186" t="inlineStr">
        <is>
          <t>阿布扎比</t>
        </is>
      </c>
      <c r="D186" t="inlineStr">
        <is>
          <t>高校</t>
        </is>
      </c>
      <c r="E186" t="inlineStr">
        <is>
          <t>教育</t>
        </is>
      </c>
      <c r="F186" t="inlineStr">
        <is>
          <t>阿联酋阿布扎比，阿布扎比岛大学街</t>
        </is>
      </c>
      <c r="G186" s="2" t="str">
        <f>=HYPERLINK("https://www.ku.ac.ae/", "https://www.ku.ac.ae/")</f>
        <v>https://www.ku.ac.ae/</v>
      </c>
      <c r="H186" t="inlineStr">
        <is>
          <t>位于阿布扎比，是一所研究型理工大学，设有多个先进实验室、工程与科技主导课程。校园设施现代、科研导向强，是阿联酋科技创新战略的重要组成。</t>
        </is>
      </c>
      <c r="I186" t="inlineStr">
        <is>
          <t>Dr. brendon cannon</t>
        </is>
      </c>
      <c r="J186" t="inlineStr">
        <is>
          <t>国际与民事副教授</t>
        </is>
      </c>
      <c r="K186"/>
      <c r="L186" s="2" t="str">
        <f>=HYPERLINK("mailto:brendon.cannon@ku.ac.ae", "brendon.cannon@ku.ac.ae")</f>
        <v>brendon.cannon@ku.ac.ae</v>
      </c>
      <c r="M186" t="inlineStr">
        <is>
          <t>+971 2 312 3560</t>
        </is>
      </c>
      <c r="N186" s="3">
        <v>45973</v>
      </c>
      <c r="O186" t="inlineStr">
        <is>
          <t>推进中</t>
        </is>
      </c>
      <c r="P186" t="inlineStr">
        <is>
          <t>领英未回复</t>
        </is>
      </c>
      <c r="Q186" t="inlineStr">
        <is>
          <t>南通市阿联酋团组</t>
        </is>
      </c>
      <c r="R186"/>
      <c r="S186"/>
      <c r="T186"/>
    </row>
    <row r="187" ht="25.5" customHeight="1">
      <c r="A187" t="inlineStr">
        <is>
          <t>阿吉曼大学（Ajman University (AU)）</t>
        </is>
      </c>
      <c r="B187" t="inlineStr">
        <is>
          <t>阿联酋</t>
        </is>
      </c>
      <c r="C187" t="inlineStr">
        <is>
          <t>斯坦福沙翁小镇</t>
        </is>
      </c>
      <c r="D187" t="inlineStr">
        <is>
          <t>高校</t>
        </is>
      </c>
      <c r="E187" t="inlineStr">
        <is>
          <t>教育</t>
        </is>
      </c>
      <c r="F187" t="inlineStr">
        <is>
          <t>阿联酋阿治曼，Al Jerf 1区</t>
        </is>
      </c>
      <c r="G187" s="2" t="str">
        <f>=HYPERLINK("https://www.ajman.ac.ae", "https://www.ajman.ac.ae")</f>
        <v>https://www.ajman.ac.ae</v>
      </c>
      <c r="H187" t="inlineStr">
        <is>
          <t>是海湾地区最早的私立大学之一，也是首批接纳外籍学生、公立与私立混合机制的高校。现为非营利性质，全球毕业校友约4 万+。强调创新、包容及社会影响。</t>
        </is>
      </c>
      <c r="I187" t="inlineStr">
        <is>
          <t>Latifa Alkalbani</t>
        </is>
      </c>
      <c r="J187" t="inlineStr">
        <is>
          <t>国际项目与合作专员</t>
        </is>
      </c>
      <c r="K187"/>
      <c r="L187" s="2" t="str">
        <f>=HYPERLINK("mailto:l.alkalbani@ajman.ac.ae", "l.alkalbani@ajman.ac.ae")</f>
        <v>l.alkalbani@ajman.ac.ae</v>
      </c>
      <c r="M187" t="inlineStr">
        <is>
          <t>+971 6 705 5235</t>
        </is>
      </c>
      <c r="N187" s="3">
        <v>45973</v>
      </c>
      <c r="O187" t="inlineStr">
        <is>
          <t>推进中</t>
        </is>
      </c>
      <c r="P187" t="inlineStr">
        <is>
          <t>领英未回复</t>
        </is>
      </c>
      <c r="Q187" t="inlineStr">
        <is>
          <t>南通市阿联酋团组</t>
        </is>
      </c>
      <c r="R187"/>
      <c r="S187"/>
      <c r="T187"/>
    </row>
    <row r="188" ht="25.5" customHeight="1">
      <c r="A188" t="inlineStr">
        <is>
          <t>阿联酋大学（United Arab Emirates University (UAEU)）</t>
        </is>
      </c>
      <c r="B188" t="inlineStr">
        <is>
          <t>阿联酋</t>
        </is>
      </c>
      <c r="C188" t="inlineStr">
        <is>
          <t>阿布扎比</t>
        </is>
      </c>
      <c r="D188" t="inlineStr">
        <is>
          <t>高校</t>
        </is>
      </c>
      <c r="E188" t="inlineStr">
        <is>
          <t>教育</t>
        </is>
      </c>
      <c r="F188" t="inlineStr">
        <is>
          <t>阿联酋阿布扎比，阿尔艾因</t>
        </is>
      </c>
      <c r="G188" s="2" t="str">
        <f>=HYPERLINK("https://www.uaeu.ac.ae", "https://www.uaeu.ac.ae")</f>
        <v>https://www.uaeu.ac.ae</v>
      </c>
      <c r="H188" t="inlineStr">
        <is>
          <t>是阿联酋的首所综合性大学，享有“国父大学”的崇高声誉。作为该国高等教育的奠基者，UAEU现已发展成为一所侧重于科学研究与创新的现代化高等学府。
大学拥有涵盖文、理、工、商、法、医的九大学院体系，提供全面的学位课程。其研究实力突出，重点聚焦于水资源、可再生能源、公共卫生及信息技术等对国家发展至关重要的领域。
凭借其深厚的学术积淀、先进的科研设施和国际化的教育环境，阿联酋大学不仅是本国顶尖学府，也在全球大学排名中稳居前列，是连接阿联酋与世界的重要学术桥梁。</t>
        </is>
      </c>
      <c r="I188"/>
      <c r="J188" t="inlineStr">
        <is>
          <t>总邮箱</t>
        </is>
      </c>
      <c r="K188"/>
      <c r="L188" s="2" t="str">
        <f>=HYPERLINK("mailto:servicedesk@uaeu.ac.ae", "servicedesk@uaeu.ac.ae")</f>
        <v>servicedesk@uaeu.ac.ae</v>
      </c>
      <c r="M188"/>
      <c r="N188" s="3">
        <v>45973</v>
      </c>
      <c r="O188" t="inlineStr">
        <is>
          <t>已联系未回复</t>
        </is>
      </c>
      <c r="P188"/>
      <c r="Q188" t="inlineStr">
        <is>
          <t>南通市阿联酋团组</t>
        </is>
      </c>
      <c r="R188"/>
      <c r="S188"/>
      <c r="T188"/>
    </row>
    <row r="189" ht="25.5" customHeight="1">
      <c r="A189" t="inlineStr">
        <is>
          <t>阿联酋高等技术学院（Higher Colleges of Technology）</t>
        </is>
      </c>
      <c r="B189" t="inlineStr">
        <is>
          <t>阿联酋</t>
        </is>
      </c>
      <c r="C189" t="inlineStr">
        <is>
          <t>阿布扎比</t>
        </is>
      </c>
      <c r="D189" t="inlineStr">
        <is>
          <t>高校</t>
        </is>
      </c>
      <c r="E189" t="inlineStr">
        <is>
          <t>教育</t>
        </is>
      </c>
      <c r="F189" t="inlineStr">
        <is>
          <t>阿联酋阿布扎比，Al Reem岛，邮政信箱38044</t>
        </is>
      </c>
      <c r="G189" s="2" t="str">
        <f>=HYPERLINK("https://hct.ac.ae/ar/", "https://hct.ac.ae/ar/")</f>
        <v>https://hct.ac.ae/ar/</v>
      </c>
      <c r="H189" t="inlineStr">
        <is>
          <t>是阿联酋最大的公立应用技术大学体系，专注职业技能、工程和技术类人才培养。</t>
        </is>
      </c>
      <c r="I189" t="inlineStr">
        <is>
          <t>Marko Savic</t>
        </is>
      </c>
      <c r="J189" t="inlineStr">
        <is>
          <t>国际事务负责人</t>
        </is>
      </c>
      <c r="K189"/>
      <c r="L189" s="2" t="str">
        <f>=HYPERLINK("mailto:international@hct.ac.ae", "international@hct.ac.ae")</f>
        <v>international@hct.ac.ae</v>
      </c>
      <c r="M189"/>
      <c r="N189" s="3">
        <v>45973</v>
      </c>
      <c r="O189" t="inlineStr">
        <is>
          <t>已联系未回复</t>
        </is>
      </c>
      <c r="P189"/>
      <c r="Q189" t="inlineStr">
        <is>
          <t>南通市阿联酋团组</t>
        </is>
      </c>
      <c r="R189"/>
      <c r="S189"/>
      <c r="T189"/>
    </row>
    <row r="190" ht="25.5" customHeight="1">
      <c r="A190" t="inlineStr">
        <is>
          <t>索邦大学阿布扎比校区（Sorbonne University Abu Dhabi）</t>
        </is>
      </c>
      <c r="B190" t="inlineStr">
        <is>
          <t>阿联酋</t>
        </is>
      </c>
      <c r="C190" t="inlineStr">
        <is>
          <t>阿布扎比</t>
        </is>
      </c>
      <c r="D190" t="inlineStr">
        <is>
          <t>高校</t>
        </is>
      </c>
      <c r="E190" t="inlineStr">
        <is>
          <t>教育</t>
        </is>
      </c>
      <c r="F190" t="inlineStr">
        <is>
          <t>阿联酋阿布扎比，Al Reem岛</t>
        </is>
      </c>
      <c r="G190" s="2" t="str">
        <f>=HYPERLINK("https://www.sorbonne.ae/", "https://www.sorbonne.ae/")</f>
        <v>https://www.sorbonne.ae/</v>
      </c>
      <c r="H190" t="inlineStr">
        <is>
          <t>由法国索邦大学与阿布扎比政府合作建立的法制高等学府，提供以法国学术体系为核心的高质量国际教育。</t>
        </is>
      </c>
      <c r="I190"/>
      <c r="J190" t="inlineStr">
        <is>
          <t>总邮箱</t>
        </is>
      </c>
      <c r="K190"/>
      <c r="L190" s="2" t="str">
        <f>=HYPERLINK("mailto:info@sorbonne.ae", "info@sorbonne.aeinternational@sorbonne.ae")</f>
        <v>info@sorbonne.aeinternational@sorbonne.ae</v>
      </c>
      <c r="M190"/>
      <c r="N190" s="3">
        <v>45973</v>
      </c>
      <c r="O190" t="inlineStr">
        <is>
          <t>已联系未回复</t>
        </is>
      </c>
      <c r="P190"/>
      <c r="Q190" t="inlineStr">
        <is>
          <t>南通市阿联酋团组</t>
        </is>
      </c>
      <c r="R190"/>
      <c r="S190"/>
      <c r="T190"/>
    </row>
    <row r="191" ht="25.5" customHeight="1">
      <c r="A191" t="inlineStr">
        <is>
          <t>英国米德尔塞克斯大学迪拜校区（Middlesex University Dubai）</t>
        </is>
      </c>
      <c r="B191" t="inlineStr">
        <is>
          <t>阿联酋</t>
        </is>
      </c>
      <c r="C191" t="inlineStr">
        <is>
          <t>迪拜</t>
        </is>
      </c>
      <c r="D191" t="inlineStr">
        <is>
          <t>高校</t>
        </is>
      </c>
      <c r="E191" t="inlineStr">
        <is>
          <t>教育</t>
        </is>
      </c>
      <c r="F191" t="inlineStr">
        <is>
          <t>阿联酋迪拜，迪拜知识园区，15、16、17区</t>
        </is>
      </c>
      <c r="G191" s="2" t="str">
        <f>=HYPERLINK("https://www.mdx.ac.ae", "https://www.mdx.ac.ae")</f>
        <v>https://www.mdx.ac.ae</v>
      </c>
      <c r="H191" t="inlineStr">
        <is>
          <t>英国米德尔塞克斯大学的首个海外校区，提供完整的英式本科与研究生课程。以性价比高、就业导向强和学生支持体系完善著称，是迪拜最受欢迎的英式大学之一。</t>
        </is>
      </c>
      <c r="I191" t="inlineStr">
        <is>
          <t xml:space="preserve">Renie Hung </t>
        </is>
      </c>
      <c r="J191" t="inlineStr">
        <is>
          <t>学教务长兼首席运营官</t>
        </is>
      </c>
      <c r="K191"/>
      <c r="L191" s="2" t="str">
        <f>=HYPERLINK("mailto:R.Hung@mdx.ac.ae", "R.Hung@mdx.ac.ae")</f>
        <v>R.Hung@mdx.ac.ae</v>
      </c>
      <c r="M191"/>
      <c r="N191" s="3">
        <v>45978</v>
      </c>
      <c r="O191" t="inlineStr">
        <is>
          <t>已联系已回复</t>
        </is>
      </c>
      <c r="P191" t="inlineStr">
        <is>
          <t>已加微信，未展开交谈（邀请函已请求其他家）</t>
        </is>
      </c>
      <c r="Q191" t="inlineStr">
        <is>
          <t>南通市阿联酋团组</t>
        </is>
      </c>
      <c r="R191"/>
      <c r="S191" t="inlineStr">
        <is>
          <t>合作方向：
1. 多元化招生合作与学位项目对接：作为其官方合作伙伴，为中国学生提供涵盖商科、法律、艺术、计算机、教育等多个领域的本科及硕士课程升学服务，并探索建立 “3+1” 或 “2+2” 双学位合作。
2. 学期交换与短期学术体验项目：与中国合作院校签订协议，开展一学期或一学年的学生交换，并组织寒假/暑假短期学术课程、专业工作坊或迪拜商业实践营。
3. 教师培训与课程开发合作：针对中国合作院校的师资发展需求，尤其在 “教育技术、商业创新、艺术设计教学法” 等领域，提供英式教学法与课程设计培训。
4. 参与迪拜国际教育展会与招生路演：借助其区位优势，协助中国合作院校参与迪拜及中东地区的国际教育展会，拓展区域影响力与学生来源。
5. 联合举办文化或学术主题活动：利用迪拜作为国际化平台的优势，共同策划举办中英教育对话、学生艺术联展或商业案例竞赛等活动。
合作领域：
核心领域：商科与管理学、计算机科学与信息技术、法律与犯罪学、艺术与设计、教育学。
特色领域：国际商务、数字营销、网络安全、电影与媒体制作、心理学。
合作特点：合作立足于 “提供广泛学科选择、高性价比的英式高等教育” 。该校课程设置灵活，与英国本部学位一致，且迪拜校区学费与生活成本较英国本土更具竞争力，适合寻求多样化、实用性强的国际教育路径的学生。</t>
        </is>
      </c>
      <c r="T191"/>
    </row>
    <row r="192" ht="25.5" customHeight="1">
      <c r="A192" t="inlineStr">
        <is>
          <t>美国罗切斯特理工大学迪拜校区（Rochester Institute of Technology Dubai）</t>
        </is>
      </c>
      <c r="B192" t="inlineStr">
        <is>
          <t>阿联酋</t>
        </is>
      </c>
      <c r="C192" t="inlineStr">
        <is>
          <t>迪拜</t>
        </is>
      </c>
      <c r="D192" t="inlineStr">
        <is>
          <t>高校</t>
        </is>
      </c>
      <c r="E192" t="inlineStr">
        <is>
          <t>教育</t>
        </is>
      </c>
      <c r="F192" t="inlineStr">
        <is>
          <t>阿联酋迪拜，迪拜硅谷学术城，罗切斯特理工学院迪拜校区</t>
        </is>
      </c>
      <c r="G192" s="2" t="str">
        <f>=HYPERLINK("https://www.rit.edu/dubai", "https://www.rit.edu/dubai")</f>
        <v>https://www.rit.edu/dubai</v>
      </c>
      <c r="H192" t="inlineStr">
        <is>
          <t>RIT Dubai是美国罗切斯特理工学院在阿联酋迪拜设立的校区，位于迪拜硅谷绿洲（Dubai Silicon Oasis）。它提供由美国RIT颁发的学位，这些学位在全球范围内得到认证，学生有机会到美国主校区或其他全球校区进行交流学习</t>
        </is>
      </c>
      <c r="I192"/>
      <c r="J192"/>
      <c r="K192"/>
      <c r="L192" s="2" t="str">
        <f>=HYPERLINK("mailto:info@rit.edu", "info@rit.edu")</f>
        <v>info@rit.edu</v>
      </c>
      <c r="M192" t="inlineStr">
        <is>
          <t>+971 4 371 2000</t>
        </is>
      </c>
      <c r="N192" s="3">
        <v>45978</v>
      </c>
      <c r="O192" t="inlineStr">
        <is>
          <t>已联系已回复</t>
        </is>
      </c>
      <c r="P192" t="inlineStr">
        <is>
          <t>回复想要开一场会议继续跟进</t>
        </is>
      </c>
      <c r="Q192" t="inlineStr">
        <is>
          <t>南通市阿联酋团组</t>
        </is>
      </c>
      <c r="R192"/>
      <c r="S192" t="inlineStr">
        <is>
          <t>合作方向：
1. 招生合作与升学路径搭建：作为RIT迪拜在中国市场的官方招生合作伙伴，为符合条件的学生提供本科及硕士课程的入学申请、学分转换咨询及奖学金信息，搭建无缝升学通道。
2. 学生学期/学年交换项目：与中国合作院校签订协议，选拔优秀本科生或研究生赴RIT迪拜进行一学期或一学年的交流学习，所修学分可转回中方院校。
3. “2+2”、“3+1”本科双学位项目：与中国高校合作开设联合培养项目，学生前两年或三年在国内学习，后两年或一年在RIT迪拜完成学业，最终获得中美双方认可的学位。
4. 硕士直通车与联合培养：为中国本科毕业生提供直接攻读RIT迪拜硕士学位的便捷通道，或与中方院校合作开设“4+1”本硕连读等项目。
5. 短期学术与文化体验营：为中国高中生或大学生组织寒假/暑期短期课程、实验室研习或中东文化商业体验营，提升对迪拜及美式教育的认知。
合作领域：
核心领域：信息技术、工程（机械、电气、工业）、商业管理、图形设计与媒体艺术。
特色领域：人工智能与数据科学、网络安全、创业创新、用户体验设计。
合作特点：合作以 “提供高性价比、高认可度的美式理工科教育” 为核心，学位受美国本土认可，学费及生活成本较欧美主流校区更低，且地处迪拜这一国际化枢纽。</t>
        </is>
      </c>
      <c r="T192"/>
    </row>
    <row r="193" ht="25.5" customHeight="1">
      <c r="A193" t="inlineStr">
        <is>
          <t>澳大利亚伍伦贡大学迪拜校区 （University of Wollongong in Dubai）</t>
        </is>
      </c>
      <c r="B193" t="inlineStr">
        <is>
          <t>阿联酋</t>
        </is>
      </c>
      <c r="C193" t="inlineStr">
        <is>
          <t>迪拜</t>
        </is>
      </c>
      <c r="D193" t="inlineStr">
        <is>
          <t>高校</t>
        </is>
      </c>
      <c r="E193" t="inlineStr">
        <is>
          <t>教育</t>
        </is>
      </c>
      <c r="F193" t="inlineStr">
        <is>
          <t>阿联酋迪拜，迪拜知识园区，5号和14号区</t>
        </is>
      </c>
      <c r="G193" s="2" t="str">
        <f>=HYPERLINK("https://www.uowdubai.ac.ae/", "https://www.uowdubai.ac.ae")</f>
        <v>https://www.uowdubai.ac.ae</v>
      </c>
      <c r="H193" t="inlineStr">
        <is>
          <t>阿联酋第一所澳大利亚大学，全球排名前1%，学位获澳大利亚母校颁发</t>
        </is>
      </c>
      <c r="I193"/>
      <c r="J193"/>
      <c r="K193"/>
      <c r="L193" s="2" t="str">
        <f>=HYPERLINK("mailto:admissions@uowdubai.ac.ae", "admissions@uowdubai.ac.ae")</f>
        <v>admissions@uowdubai.ac.ae</v>
      </c>
      <c r="M193" t="inlineStr">
        <is>
          <t>+971 4 278 1800</t>
        </is>
      </c>
      <c r="N193" s="3">
        <v>45978</v>
      </c>
      <c r="O193" t="inlineStr">
        <is>
          <t>已联系未回复</t>
        </is>
      </c>
      <c r="P193"/>
      <c r="Q193" t="inlineStr">
        <is>
          <t>南通市阿联酋团组</t>
        </is>
      </c>
      <c r="R193"/>
      <c r="S193"/>
      <c r="T193"/>
    </row>
    <row r="194" ht="25.5" customHeight="1">
      <c r="A194" t="inlineStr">
        <is>
          <t>印度马尼帕尔大学迪拜校区（Manipal Academy of Higher Education Dubai）</t>
        </is>
      </c>
      <c r="B194" t="inlineStr">
        <is>
          <t>阿联酋</t>
        </is>
      </c>
      <c r="C194" t="inlineStr">
        <is>
          <t>迪拜</t>
        </is>
      </c>
      <c r="D194" t="inlineStr">
        <is>
          <t>高校</t>
        </is>
      </c>
      <c r="E194" t="inlineStr">
        <is>
          <t>教育</t>
        </is>
      </c>
      <c r="F194" t="inlineStr">
        <is>
          <t>阿联酋迪拜，迪拜国际学术城</t>
        </is>
      </c>
      <c r="G194" s="2" t="str">
        <f>=HYPERLINK("https://manipaldubai.com/", "https://manipaldubai.com")</f>
        <v>https://manipaldubai.com</v>
      </c>
      <c r="H194" t="inlineStr">
        <is>
          <t>印度曼尼帕尔高等教育学院的分校，提供工程、管理、传媒等超50个课程</t>
        </is>
      </c>
      <c r="I194"/>
      <c r="J194"/>
      <c r="K194"/>
      <c r="L194" s="2" t="str">
        <f>=HYPERLINK("mailto:info.dubai@manipal.edu", "info.dubai@manipal.edu")</f>
        <v>info.dubai@manipal.edu</v>
      </c>
      <c r="M194" t="inlineStr">
        <is>
          <t>+971 4 429 0777</t>
        </is>
      </c>
      <c r="N194" s="3">
        <v>45978</v>
      </c>
      <c r="O194" t="inlineStr">
        <is>
          <t>已联系未回复</t>
        </is>
      </c>
      <c r="P194"/>
      <c r="Q194" t="inlineStr">
        <is>
          <t>南通市阿联酋团组</t>
        </is>
      </c>
      <c r="R194"/>
      <c r="S194"/>
      <c r="T194"/>
    </row>
    <row r="195" ht="25.5" customHeight="1">
      <c r="A195" t="inlineStr">
        <is>
          <t>印度阿米提大学迪拜校区（Amity University Dubai）</t>
        </is>
      </c>
      <c r="B195" t="inlineStr">
        <is>
          <t>阿联酋</t>
        </is>
      </c>
      <c r="C195" t="inlineStr">
        <is>
          <t>迪拜</t>
        </is>
      </c>
      <c r="D195" t="inlineStr">
        <is>
          <t>高校</t>
        </is>
      </c>
      <c r="E195" t="inlineStr">
        <is>
          <t>教育</t>
        </is>
      </c>
      <c r="F195" t="inlineStr">
        <is>
          <t>阿联酋迪拜，迪拜国际学术城</t>
        </is>
      </c>
      <c r="G195" s="2" t="str">
        <f>=HYPERLINK("https://www.amityuniversity.ae/", "https://www.amityuniversity.ae")</f>
        <v>https://www.amityuniversity.ae</v>
      </c>
      <c r="H195" t="inlineStr">
        <is>
          <t>阿联酋最大的多学科体系大学之一，隶属非盈利的阿米提教育集团，学生来自50多国</t>
        </is>
      </c>
      <c r="I195"/>
      <c r="J195"/>
      <c r="K195"/>
      <c r="L195" s="2" t="str">
        <f>=HYPERLINK("mailto:admissions@amityuniversity.ae", "admissions@amityuniversity.ae")</f>
        <v>admissions@amityuniversity.ae</v>
      </c>
      <c r="M195" t="inlineStr">
        <is>
          <t>+971 4 455 4900</t>
        </is>
      </c>
      <c r="N195" s="3">
        <v>45978</v>
      </c>
      <c r="O195" t="inlineStr">
        <is>
          <t>已联系未回复</t>
        </is>
      </c>
      <c r="P195"/>
      <c r="Q195" t="inlineStr">
        <is>
          <t>南通市阿联酋团组</t>
        </is>
      </c>
      <c r="R195"/>
      <c r="S195"/>
      <c r="T195"/>
    </row>
    <row r="196" ht="25.5" customHeight="1">
      <c r="A196" t="inlineStr">
        <is>
          <t>迪拜加拿大大学（Canadian University Dubai (CUD)）</t>
        </is>
      </c>
      <c r="B196" t="inlineStr">
        <is>
          <t>阿联酋</t>
        </is>
      </c>
      <c r="C196" t="inlineStr">
        <is>
          <t>迪拜</t>
        </is>
      </c>
      <c r="D196" t="inlineStr">
        <is>
          <t>高校</t>
        </is>
      </c>
      <c r="E196" t="inlineStr">
        <is>
          <t>教育</t>
        </is>
      </c>
      <c r="F196" t="inlineStr">
        <is>
          <t>阿联酋迪拜，Al Safa街，Al Wasl区</t>
        </is>
      </c>
      <c r="G196" s="2" t="str">
        <f>=HYPERLINK("https://www.cud.ac.ae", "https://www.cud.ac.ae")</f>
        <v>https://www.cud.ac.ae</v>
      </c>
      <c r="H196" t="inlineStr">
        <is>
          <t>加拿大教育体系大学，国际学生众多，课程实用导向强。以加拿大教育模式为核心，连接中东与北美高等教育。提供商科、工程、建筑、传播、健康科学等课程，可转学至加拿大大学，路径灵活，国际认可度高。</t>
        </is>
      </c>
      <c r="I196"/>
      <c r="J196"/>
      <c r="K196"/>
      <c r="L196" s="2" t="str">
        <f>=HYPERLINK("mailto:info@cud.ac.ae", "info@cud.ac.ae")</f>
        <v>info@cud.ac.ae</v>
      </c>
      <c r="M196"/>
      <c r="N196" s="3">
        <v>45978</v>
      </c>
      <c r="O196" t="inlineStr">
        <is>
          <t>触达</t>
        </is>
      </c>
      <c r="P196" t="inlineStr">
        <is>
          <t>邮件告知可以联系协调员Ms. Ayah Sharif，邮箱是ayah.sharif@cud.ac.ae</t>
        </is>
      </c>
      <c r="Q196" t="inlineStr">
        <is>
          <t>南通市阿联酋团组</t>
        </is>
      </c>
      <c r="R196"/>
      <c r="S196"/>
      <c r="T196"/>
    </row>
    <row r="197" ht="25.5" customHeight="1">
      <c r="A197" t="inlineStr">
        <is>
          <t>卓越应用研究与培训中心（CERT – Centre of Excellence for Applied Research and Training）</t>
        </is>
      </c>
      <c r="B197" t="inlineStr">
        <is>
          <t>阿联酋</t>
        </is>
      </c>
      <c r="C197" t="inlineStr">
        <is>
          <t>阿布扎比</t>
        </is>
      </c>
      <c r="D197" t="inlineStr">
        <is>
          <t>教育培训机构</t>
        </is>
      </c>
      <c r="E197" t="inlineStr">
        <is>
          <t>教育</t>
        </is>
      </c>
      <c r="F197" t="inlineStr">
        <is>
          <t>阿联酋阿布扎比，Al Maqam塔楼9层，Mubarakrah区</t>
        </is>
      </c>
      <c r="G197" s="2" t="str">
        <f>=HYPERLINK("https://www.cert.ae/", "https://www.cert.ae/")</f>
        <v>https://www.cert.ae/</v>
      </c>
      <c r="H197" t="inlineStr">
        <is>
          <t>隶属于 UAE 高等技术学院 (Higher Colleges of Technology, HCT)，是阿联酋领先的职业培训机构，提供领导力发展、认证课程、组织发展等。</t>
        </is>
      </c>
      <c r="I197" t="inlineStr">
        <is>
          <t>Tajwar Hussaini</t>
        </is>
      </c>
      <c r="J197" t="inlineStr">
        <is>
          <t>职业培训师</t>
        </is>
      </c>
      <c r="K197"/>
      <c r="L197" s="2" t="str">
        <f>=HYPERLINK("http://领英：https://www.linkedin.com/in/tajwar-hussaini/", "领英：https://www.linkedin.com/in/tajwar-hussaini/")</f>
        <v>领英：https://www.linkedin.com/in/tajwar-hussaini/</v>
      </c>
      <c r="M197"/>
      <c r="N197" s="3">
        <v>45978</v>
      </c>
      <c r="O197" t="inlineStr">
        <is>
          <t>已联系已回复</t>
        </is>
      </c>
      <c r="P197" t="inlineStr">
        <is>
          <t>还在考虑是否适合开展公务合作-想要深度探讨-项目暂停</t>
        </is>
      </c>
      <c r="Q197" t="inlineStr">
        <is>
          <t>南通市阿联酋团组</t>
        </is>
      </c>
      <c r="R197"/>
      <c r="S197" t="inlineStr">
        <is>
          <t>合作方向：
1. 产业技术考察与培训：组织因公出访团组考察其应用技术转化模式，并为中方技术人员提供定制化技能培训。
2. 联合研发与中试合作：针对能源、制造等领域的技术难题，开展联合攻关与原型开发。
3. 职业标准与产教融合研讨：交流职业技能认证体系经验，学习其产学研深度合作机制。
合作领域：
核心：工程应用技术、信息技术、工业管理。
特色：能源与环境技术、职业教育体系。
总结：合作聚焦 “产业驱动的技术研发与高技能人才培养” ，适合寻求 技术升级、人员培训、产教融合 实效的因公出访项目。</t>
        </is>
      </c>
      <c r="T197"/>
    </row>
    <row r="198" ht="25.5" customHeight="1">
      <c r="A198" t="inlineStr">
        <is>
          <t>哈利法大学 继续教育 / 高管教育(Khalifa University Continuing Education / Executive Education)</t>
        </is>
      </c>
      <c r="B198" t="inlineStr">
        <is>
          <t>阿联酋</t>
        </is>
      </c>
      <c r="C198" t="inlineStr">
        <is>
          <t>阿布扎比</t>
        </is>
      </c>
      <c r="D198" t="inlineStr">
        <is>
          <t>教育培训机构</t>
        </is>
      </c>
      <c r="E198" t="inlineStr">
        <is>
          <t>教育</t>
        </is>
      </c>
      <c r="F198" t="inlineStr">
        <is>
          <t>阿联酋阿布扎比，哈利法大学，邮政信箱127788</t>
        </is>
      </c>
      <c r="G198" s="2" t="str">
        <f>=HYPERLINK("https://ceducation.ku.ac.ae/", "https://ceducation.ku.ac.ae/")</f>
        <v>https://ceducation.ku.ac.ae/</v>
      </c>
      <c r="H198" t="inlineStr">
        <is>
          <t>为行业和个人提供继续教育课程 (技术、AI、能源等) 和高管培训。</t>
        </is>
      </c>
      <c r="I198"/>
      <c r="J198"/>
      <c r="K198"/>
      <c r="L198" s="2" t="str">
        <f>=HYPERLINK("mailto:continuingeducation@ku.ac.ae", "continuingeducation@ku.ac.aebusinessdevelopment@ku.ac.ae")</f>
        <v>continuingeducation@ku.ac.aebusinessdevelopment@ku.ac.ae</v>
      </c>
      <c r="M198" t="inlineStr">
        <is>
          <t>+971 2 312 3333</t>
        </is>
      </c>
      <c r="N198" s="3">
        <v>45978</v>
      </c>
      <c r="O198" t="inlineStr">
        <is>
          <t>推进中</t>
        </is>
      </c>
      <c r="P198" t="inlineStr">
        <is>
          <t>填写在线表格</t>
        </is>
      </c>
      <c r="Q198" t="inlineStr">
        <is>
          <t>南通市阿联酋团组</t>
        </is>
      </c>
      <c r="R198"/>
      <c r="S198"/>
      <c r="T198"/>
    </row>
    <row r="199" ht="25.5" customHeight="1">
      <c r="A199" t="inlineStr">
        <is>
          <t>穆罕默德·本·扎耶德人文大学 继续教育中心（Mohamed Bin Zayed University for Humanities – Center for Continuing Education &amp; Community Services）</t>
        </is>
      </c>
      <c r="B199" t="inlineStr">
        <is>
          <t>阿联酋</t>
        </is>
      </c>
      <c r="C199" t="inlineStr">
        <is>
          <t>阿布扎比</t>
        </is>
      </c>
      <c r="D199" t="inlineStr">
        <is>
          <t>教育培训机构</t>
        </is>
      </c>
      <c r="E199" t="inlineStr">
        <is>
          <t>教育</t>
        </is>
      </c>
      <c r="F199" t="inlineStr">
        <is>
          <t>阿联酋阿布扎比，穆罕默德·本·扎耶德人文大学，17号街，Al Shamkha区，邮政信箱3886</t>
        </is>
      </c>
      <c r="G199" s="2" t="str">
        <f>=HYPERLINK("https://www.mbzuh.ac.ae/cec-new/?utm_source=chatgpt.com", "https://www.mbzuh.ac.ae/cec-new/?utm_source=chatgpt.com")</f>
        <v>https://www.mbzuh.ac.ae/cec-new/?utm_source=chatgpt.com</v>
      </c>
      <c r="H199" t="inlineStr">
        <is>
          <t>提供社区教育、IELTS / EmSAT培训，以及成人能力提升课程。</t>
        </is>
      </c>
      <c r="I199"/>
      <c r="J199"/>
      <c r="K199"/>
      <c r="L199" s="2" t="str">
        <f>=HYPERLINK("mailto:cec.course@mbzuh.ac.ae", "cec.course@mbzuh.ac.aeinfo@mbzuh.ac.ae")</f>
        <v>cec.course@mbzuh.ac.aeinfo@mbzuh.ac.ae</v>
      </c>
      <c r="M199" t="inlineStr">
        <is>
          <t>+971 2 499 9000</t>
        </is>
      </c>
      <c r="N199" s="3">
        <v>45978</v>
      </c>
      <c r="O199" t="inlineStr">
        <is>
          <t>触达</t>
        </is>
      </c>
      <c r="P199" t="inlineStr">
        <is>
          <t>在线联系过，并且对方保存了我的邮箱，后面有机会再合作</t>
        </is>
      </c>
      <c r="Q199" t="inlineStr">
        <is>
          <t>南通市阿联酋团组</t>
        </is>
      </c>
      <c r="R199"/>
      <c r="S199"/>
      <c r="T199"/>
    </row>
    <row r="200" ht="25.5" customHeight="1">
      <c r="A200" t="inlineStr">
        <is>
          <t>阿布扎比管理学院（Abu Dhabi School of Management, ADSM）</t>
        </is>
      </c>
      <c r="B200" t="inlineStr">
        <is>
          <t>阿联酋</t>
        </is>
      </c>
      <c r="C200" t="inlineStr">
        <is>
          <t>阿布扎比</t>
        </is>
      </c>
      <c r="D200" t="inlineStr">
        <is>
          <t>商协会</t>
        </is>
      </c>
      <c r="E200" t="inlineStr">
        <is>
          <t>教育</t>
        </is>
      </c>
      <c r="F200" t="inlineStr">
        <is>
          <t>阿联酋阿布扎比，扎耶德城，Al Dhafra区，阿布扎比管理学院，邮政信箱6844</t>
        </is>
      </c>
      <c r="G200" s="2" t="str">
        <f>=HYPERLINK("https://adsm.ac.ae/?utm_source=chatgpt.com", "https://adsm.ac.ae/?utm_source=chatgpt.com")</f>
        <v>https://adsm.ac.ae/?utm_source=chatgpt.com</v>
      </c>
      <c r="H200" t="inlineStr">
        <is>
          <t>阿布扎比管理学院（ADSM）是一所由阿布扎比工商会创立的研究生院，专注于管理、创新与创业教育，致力于培养面向未来的商业和公共管理人才。</t>
        </is>
      </c>
      <c r="I200"/>
      <c r="J200"/>
      <c r="K200"/>
      <c r="L200" s="2" t="str">
        <f>=HYPERLINK("mailto:info@adsm.ac.ae", "info@adsm.ac.ae")</f>
        <v>info@adsm.ac.ae</v>
      </c>
      <c r="M200" t="inlineStr">
        <is>
          <t>+971 2 691 7811</t>
        </is>
      </c>
      <c r="N200" s="3">
        <v>45978</v>
      </c>
      <c r="O200" t="inlineStr">
        <is>
          <t>已联系未回复</t>
        </is>
      </c>
      <c r="P200"/>
      <c r="Q200" t="inlineStr">
        <is>
          <t>南通市阿联酋团组</t>
        </is>
      </c>
      <c r="R200"/>
      <c r="S200"/>
      <c r="T200"/>
    </row>
    <row r="201" ht="25.5" customHeight="1">
      <c r="A201" t="inlineStr">
        <is>
          <t>中东中文学院（Chinese Language Institute Middle East）</t>
        </is>
      </c>
      <c r="B201" t="inlineStr">
        <is>
          <t>阿联酋</t>
        </is>
      </c>
      <c r="C201" t="inlineStr">
        <is>
          <t>阿布扎比</t>
        </is>
      </c>
      <c r="D201" t="inlineStr">
        <is>
          <t>教育培训机构</t>
        </is>
      </c>
      <c r="E201" t="inlineStr">
        <is>
          <t>教育</t>
        </is>
      </c>
      <c r="F201" t="inlineStr">
        <is>
          <t>阿联酋阿布扎比，Al Rowdah区，第26号别墅，扎耶德军事医院后面，邮政信箱44486</t>
        </is>
      </c>
      <c r="G201" s="2" t="str">
        <f>=HYPERLINK("https://www.ycbcouncil.com/?utm_source=chatgpt.com", "https://www.ycbcouncil.com/?utm_source=chatgpt.com")</f>
        <v>https://www.ycbcouncil.com/?utm_source=chatgpt.com</v>
      </c>
      <c r="H201" t="inlineStr">
        <is>
          <t>中东地区首家专业中文语言与文化学习机构</t>
        </is>
      </c>
      <c r="I201"/>
      <c r="J201"/>
      <c r="K201"/>
      <c r="L201" s="2" t="str">
        <f>=HYPERLINK("mailto:info@sai-college.com", "info@sai-college.cominfo@cli-me.com")</f>
        <v>info@sai-college.cominfo@cli-me.com</v>
      </c>
      <c r="M201" t="inlineStr">
        <is>
          <t>+97 75182228</t>
        </is>
      </c>
      <c r="N201" s="3">
        <v>45978</v>
      </c>
      <c r="O201" t="inlineStr">
        <is>
          <t>已联系未回复</t>
        </is>
      </c>
      <c r="P201"/>
      <c r="Q201" t="inlineStr">
        <is>
          <t>南通市阿联酋团组</t>
        </is>
      </c>
      <c r="R201"/>
      <c r="S201"/>
      <c r="T201"/>
    </row>
    <row r="202" ht="25.5" customHeight="1">
      <c r="A202" t="inlineStr">
        <is>
          <t>阿布扎比技术与职业教育培训中心（ACTVET, Abu Dhabi Centre for Technical and Vocational Education and Training）</t>
        </is>
      </c>
      <c r="B202" t="inlineStr">
        <is>
          <t>阿联酋</t>
        </is>
      </c>
      <c r="C202" t="inlineStr">
        <is>
          <t>阿布扎比</t>
        </is>
      </c>
      <c r="D202" t="inlineStr">
        <is>
          <t>教育培训机构</t>
        </is>
      </c>
      <c r="E202" t="inlineStr">
        <is>
          <t>教育</t>
        </is>
      </c>
      <c r="F202" t="inlineStr">
        <is>
          <t>阿联酋阿布扎比，技术与职业教育培训中心，邮政信箱111555</t>
        </is>
      </c>
      <c r="G202" s="2" t="str">
        <f>=HYPERLINK("https://www.actvet.gov.ae/en/Pages/default.aspx", "https://www.actvet.gov.ae/en/Pages/default.aspx")</f>
        <v>https://www.actvet.gov.ae/en/Pages/default.aspx</v>
      </c>
      <c r="H202" t="inlineStr">
        <is>
          <t>ACTVET 是阿布扎比负责监管和推动技术职业教育 (TVET) 的官方机构，负责设定标准、认证培训机构，以及提供面向未来产业的技能培训</t>
        </is>
      </c>
      <c r="I202"/>
      <c r="J202"/>
      <c r="K202"/>
      <c r="L202" s="2" t="str">
        <f>=HYPERLINK("mailto:care@actvet.gov.ae", "care@actvet.gov.ae")</f>
        <v>care@actvet.gov.ae</v>
      </c>
      <c r="M202" t="inlineStr">
        <is>
          <t>+971 2 613 2000</t>
        </is>
      </c>
      <c r="N202" s="3">
        <v>45978</v>
      </c>
      <c r="O202" t="inlineStr">
        <is>
          <t>已联系未回复</t>
        </is>
      </c>
      <c r="P202"/>
      <c r="Q202" t="inlineStr">
        <is>
          <t>南通市阿联酋团组</t>
        </is>
      </c>
      <c r="R202"/>
      <c r="S202"/>
      <c r="T202"/>
    </row>
    <row r="203" ht="25.5" customHeight="1">
      <c r="A203" t="inlineStr">
        <is>
          <t>阿布扎比职业教育与培训学院（Abu Dhabi Vocational Education and Training Institute (ADVETI)）</t>
        </is>
      </c>
      <c r="B203" t="inlineStr">
        <is>
          <t>阿联酋</t>
        </is>
      </c>
      <c r="C203" t="inlineStr">
        <is>
          <t>阿布扎比</t>
        </is>
      </c>
      <c r="D203" t="inlineStr">
        <is>
          <t>教育培训机构</t>
        </is>
      </c>
      <c r="E203" t="inlineStr">
        <is>
          <t>教育</t>
        </is>
      </c>
      <c r="F203" t="inlineStr">
        <is>
          <t>阿联酋阿布扎比，穆罕默德·本·扎耶德城市，Shahama，职业教育与培训学院，邮政信箱6115</t>
        </is>
      </c>
      <c r="G203" s="2" t="str">
        <f>=HYPERLINK("https://www.adveti.ac.ae/", "https://www.adveti.ac.ae/")</f>
        <v>https://www.adveti.ac.ae/</v>
      </c>
      <c r="H203" t="inlineStr">
        <is>
          <t>阿布扎比政府下属职业教育机构，提供行业对接的文凭及高级文凭课程。</t>
        </is>
      </c>
      <c r="I203"/>
      <c r="J203"/>
      <c r="K203"/>
      <c r="L203" s="2" t="str">
        <f>=HYPERLINK("mailto:info.bdu@adveti.ac.ae", "info.bdu@adveti.ac.ae")</f>
        <v>info.bdu@adveti.ac.ae</v>
      </c>
      <c r="M203" t="inlineStr">
        <is>
          <t>+971 2 508 2700</t>
        </is>
      </c>
      <c r="N203" s="3">
        <v>45978</v>
      </c>
      <c r="O203" t="inlineStr">
        <is>
          <t>已联系未回复</t>
        </is>
      </c>
      <c r="P203"/>
      <c r="Q203" t="inlineStr">
        <is>
          <t>南通市阿联酋团组</t>
        </is>
      </c>
      <c r="R203"/>
      <c r="S203"/>
      <c r="T203"/>
    </row>
    <row r="204" ht="25.5" customHeight="1">
      <c r="A204" t="inlineStr">
        <is>
          <t>安瓦尔·加加什外交学院（Anwar Gargash Diplomatic Academy）</t>
        </is>
      </c>
      <c r="B204" t="inlineStr">
        <is>
          <t>阿联酋</t>
        </is>
      </c>
      <c r="C204" t="inlineStr">
        <is>
          <t>阿布扎比</t>
        </is>
      </c>
      <c r="D204" t="inlineStr">
        <is>
          <t>高校</t>
        </is>
      </c>
      <c r="E204" t="inlineStr">
        <is>
          <t>教育</t>
        </is>
      </c>
      <c r="F204" t="inlineStr">
        <is>
          <t>阿联酋阿布扎比，外交区，总统Joko Widodo街（对面扎耶德军事医院），邮政信箱35567</t>
        </is>
      </c>
      <c r="G204" s="2" t="str">
        <f>=HYPERLINK("https://agda.ac.ae/", "https://agda.ac.ae/")</f>
        <v>https://agda.ac.ae/</v>
      </c>
      <c r="H204" t="inlineStr">
        <is>
          <t>AGDA 是阿联酋阿布扎比的一所高端外交人才培训与研究机构，致力于培养未来的外交官和国际事务领导者</t>
        </is>
      </c>
      <c r="I204" t="inlineStr">
        <is>
          <t>Damyana Bakardzhieva</t>
        </is>
      </c>
      <c r="J204" t="inlineStr">
        <is>
          <t>招生与录取顾问</t>
        </is>
      </c>
      <c r="K204"/>
      <c r="L204" s="2" t="str">
        <f>=HYPERLINK("mailto:damyana.bakardzhieva@agda.ac.ae", "damyana.bakardzhieva@agda.ac.ae")</f>
        <v>damyana.bakardzhieva@agda.ac.ae</v>
      </c>
      <c r="M204"/>
      <c r="N204" s="3">
        <v>45978</v>
      </c>
      <c r="O204" t="inlineStr">
        <is>
          <t>已联系已回复</t>
        </is>
      </c>
      <c r="P204" t="inlineStr">
        <is>
          <t>感兴趣，但是学校处于放假期间，需要对接是否有人能接待</t>
        </is>
      </c>
      <c r="Q204" t="inlineStr">
        <is>
          <t>南通市阿联酋团组</t>
        </is>
      </c>
      <c r="R204"/>
      <c r="S204" t="inlineStr">
        <is>
          <t>合作方向：
1. 高级外交外事干部专题研修：组织中国外交系统、外事办公室及国际组织后备人才的高级别因公出访团组，赴该学院参加定制的 “海湾地区地缘政治、中东外交政策、多边谈判、公共外交与数字外交” 等主题的高级研修班，深度理解阿联酋及海湾合作委员会（GCC）的外交思维与战略文化。
2. 国际关系与区域研究联合智库项目：与学院的研究中心合作，就 “中阿（拉伯）关系、一带一路与海湾发展对接、能源地缘政治转型、全球治理改革” 等议题开展联合研究，共同发布政策报告，并举办闭门圆桌会议，服务双方高层决策。
3. 青年外交官与未来领袖交流计划：建立两国青年外交官、国际关系领域优秀学生之间的定期对话与短期互访机制，通过模拟谈判、联合调研等形式，培养知华知阿的新一代外交与事务人才。
4. 外交礼仪、国际谈判与危机管理模拟训练：引入该学院在外交实践技能培训方面的专业化课程与模拟系统，为中国涉外部门人员提供贴近实战的高端技能培训。
5. 参与/共办高端国际论坛与二轨对话：利用学院作为海湾地区外交思想枢纽的地位，共同主办或深度参与聚焦中阿关系、中东安全与发展的高级别国际论坛，拓展中国与海湾国家间的政策沟通与学术对话渠道。
合作领域：
核心领域：外交理论与实践、国际关系与安全研究、海湾地区与中东研究、全球治理与国际法。
特色领域：能源外交与气候谈判、数字外交与网络安全政策、文化外交与文明对话。
合作特点：合作聚焦于 “国家外交能力建设与国际战略沟通” ，具有高度的 “政策性、战略性和敏感性” 。学院作为阿联酋的“外交官摇篮”，合作直接服务于双方的外交战略需求与双边关系深化。</t>
        </is>
      </c>
      <c r="T204"/>
    </row>
    <row r="205" ht="25.5" customHeight="1">
      <c r="A205" t="inlineStr">
        <is>
          <t>纽约大学阿布扎比分校（New York University Abu Dhabi（NYUAD））</t>
        </is>
      </c>
      <c r="B205" t="inlineStr">
        <is>
          <t>阿联酋</t>
        </is>
      </c>
      <c r="C205" t="inlineStr">
        <is>
          <t>阿布扎比</t>
        </is>
      </c>
      <c r="D205" t="inlineStr">
        <is>
          <t>高校</t>
        </is>
      </c>
      <c r="E205" t="inlineStr">
        <is>
          <t>教育</t>
        </is>
      </c>
      <c r="F205" t="inlineStr">
        <is>
          <t>阿联酋阿布扎比，萨迪亚特岛</t>
        </is>
      </c>
      <c r="G205" s="2" t="str">
        <f>=HYPERLINK("http://www.nyuad.nyu.edu", "http://www.nyuad.nyu.edu")</f>
        <v>http://www.nyuad.nyu.edu</v>
      </c>
      <c r="H205" t="inlineStr">
        <is>
          <t>纽约大学阿布扎比分校是纽约大学在阿布扎比的全球门户校区，提供通识教育与研究型学术体验</t>
        </is>
      </c>
      <c r="I205" t="inlineStr">
        <is>
          <t>Abeer Albreiki</t>
        </is>
      </c>
      <c r="J205" t="inlineStr">
        <is>
          <t>教务长办公室助理</t>
        </is>
      </c>
      <c r="K205"/>
      <c r="L205" s="2" t="str">
        <f>=HYPERLINK("mailto:aa9616@nyu.edu", "aa9616@nyu.edu")</f>
        <v>aa9616@nyu.edu</v>
      </c>
      <c r="M205"/>
      <c r="N205" s="3">
        <v>45978</v>
      </c>
      <c r="O205" t="inlineStr">
        <is>
          <t>已联系已回复</t>
        </is>
      </c>
      <c r="P205" t="inlineStr">
        <is>
          <t>需要确认是否有时间</t>
        </is>
      </c>
      <c r="Q205" t="inlineStr">
        <is>
          <t>南通市阿联酋团组</t>
        </is>
      </c>
      <c r="R205"/>
      <c r="S205" t="inlineStr">
        <is>
          <t>合作方向：
1. 全球顶尖高等教育模式与国际化治理代表团考察：组织中国教育部、顶尖大学（C9联盟等）及教育国际化主管部门的高级别因公出访团组，深度调研其 “小型化、高选择性、研究密集、全住宿制” 的精英办学模式、跨学科课程体系设计、全球化师资招聘与治理结构，为中国建设世界一流大学提供前沿范式参考。
2. 顶尖学者与科研人员合作网络构建：依托其与纽约大学全球系统的无缝连接，推动中方顶尖学者与NYUAD及纽约本部在 “人工智能伦理、中东与亚洲比较研究、城市科学、环境变化、基因组学与精准医学” 等前沿领域建立实质性科研合作，共同申请重大国际项目。
3. 本科生全球体验与学期交换计划：选拔中国最优秀的本科生参与其高度国际化的学期交换或暑期研究项目，体验“文理博雅教育+前沿科研”深度融合的学习环境，培养具有全球领导力的青年人才。
4. 联合举办全球性高端学术论坛：共同策划并主办聚焦 “全球性挑战的跨文化解决方案” 主题的高规格学术峰会或系列讲座，汇集来自中东、亚洲及西方的顶尖学者、政策制定者与学生进行对话。
5. 文化交流与艺术创作驻地项目：利用其强大的艺术与人文学科资源及地处文明交汇点的优势，合作设立艺术家、作家或学者驻地计划，推动基于中东与中国文化对话的原创艺术与学术成果产出。
合作领域：
核心领域：前沿跨学科研究（尤其是社会科学与自然科学交叉领域）、全球事务与比较研究、艺术与人文创作、工程与应用科学。
特色领域：中东-亚洲关系研究、伊斯兰世界艺术与科技史、全球公共卫生政策、计算社会科学。
合作特点：合作代表 “全球精英高等教育理念与资源的直接对话与对接” 。NYUAD不仅是一个海外校区，更是探索全球化时代高等教育未来形态的“实验性高峰”，合作具有 “理念超前性、资源稀缺性和网络高端性” 。</t>
        </is>
      </c>
      <c r="T205"/>
    </row>
    <row r="206" ht="25.5" customHeight="1">
      <c r="A206" t="inlineStr">
        <is>
          <t>阿布扎比管理学院（Abu Dhabi School of Management, ADSM）</t>
        </is>
      </c>
      <c r="B206" t="inlineStr">
        <is>
          <t>阿联酋</t>
        </is>
      </c>
      <c r="C206" t="inlineStr">
        <is>
          <t>阿布扎比</t>
        </is>
      </c>
      <c r="D206" t="inlineStr">
        <is>
          <t>教育培训机构</t>
        </is>
      </c>
      <c r="E206" t="inlineStr">
        <is>
          <t>教育</t>
        </is>
      </c>
      <c r="F206" t="inlineStr">
        <is>
          <t>阿联酋阿布扎比，Freej Al Teebat街，Al Hisn区，邮政信箱6844</t>
        </is>
      </c>
      <c r="G206" s="2" t="str">
        <f>=HYPERLINK("http://www.adsm.ac.ae", "http://www.adsm.ac.ae")</f>
        <v>http://www.adsm.ac.ae</v>
      </c>
      <c r="H206" t="inlineStr">
        <is>
          <t>阿布扎比管理学院是一所在阿布扎比运营、专注于管理与创业教育的高等院校</t>
        </is>
      </c>
      <c r="I206" t="inlineStr">
        <is>
          <t>Constance Van Horne</t>
        </is>
      </c>
      <c r="J206" t="inlineStr">
        <is>
          <t>国际事务部主管</t>
        </is>
      </c>
      <c r="K206"/>
      <c r="L206" s="2" t="str">
        <f>=HYPERLINK("mailto:c.horne@adsm.ac.ae", "c.horne@adsm.ac.ae")</f>
        <v>c.horne@adsm.ac.ae</v>
      </c>
      <c r="M206"/>
      <c r="N206" s="3">
        <v>45978</v>
      </c>
      <c r="O206" t="inlineStr">
        <is>
          <t>已联系已回复</t>
        </is>
      </c>
      <c r="P206" t="inlineStr">
        <is>
          <t>邮件+领英+微信，需要进一步沟通-项目停止</t>
        </is>
      </c>
      <c r="Q206" t="inlineStr">
        <is>
          <t>南通市阿联酋团组</t>
        </is>
      </c>
      <c r="R206"/>
      <c r="S206" t="inlineStr">
        <is>
          <t>合作方向：
1. 政府经济与公共管理代表团专业研修：组织中国地方政府发改委、商务局、国资委及高新区管理机构的因公出访团组，参与ADSM定制的“海湾地区经济转型、公私合作模式与创新生态系统”高级研修班，学习阿联酋在数字经济、主权财富投资与产业升级中的战略与管理实践。
2. 国有企业及创新企业高管培训：针对中国国有企业和“专精特新”企业的高级管理人员，开设聚焦 “中东市场战略、家族企业治理、伊斯兰金融、科技创业投资” 等特色主题的短期高管教育项目，助力企业国际化布局。
3. 青年创业领袖培养与孵化器合作：结合ADSM在创业教育方面的资源，联合举办面向中阿两国青年创业者的加速营或创业大赛，并推动双方大学科技园、孵化器之间的最佳实践交流与项目对接。
4. 联合科研与案例开发：在“可持续发展与ESG、智慧城市管理、跨境电子商务、领导力与文化差异”等领域开展合作研究，共同开发适用于中东与中国市场的教学案例，丰富双方的管理知识库。
5. 定制化硕士学位与非学位课程：探讨为中国公共部门或企业学员群体，定制开发涉及“公共政策管理”、“技术创新管理”或“伊斯兰商业环境”等方向的硕士学位项目或证书课程。
合作领域：
核心领域：战略管理与领导力、创新创业管理、金融与伊斯兰金融、市场营销与数字化转型。
特色领域：家族企业治理、中东商业环境、可持续发展与商业伦理、智慧城市经济。
合作特点：合作紧密围绕 “海湾地区特色商业实践与管理智慧” ，具有鲜明的 “地域聚焦性、应用导向性和高端客户针对性” 。ADSM植根于阿布扎比这一全球金融与政治中心，能为中方提供深入理解中东经济引擎运作逻辑的一手视角。</t>
        </is>
      </c>
      <c r="T206"/>
    </row>
    <row r="207" ht="25.5" customHeight="1">
      <c r="A207" t="inlineStr">
        <is>
          <t>阿拉伯大学协会（Association of Arab Universities (AArU)）</t>
        </is>
      </c>
      <c r="B207" t="inlineStr">
        <is>
          <t>阿联酋</t>
        </is>
      </c>
      <c r="C207" t="inlineStr">
        <is>
          <t>乔丹</t>
        </is>
      </c>
      <c r="D207" t="inlineStr">
        <is>
          <t>大学协会</t>
        </is>
      </c>
      <c r="E207" t="inlineStr">
        <is>
          <t>教育</t>
        </is>
      </c>
      <c r="F207" t="inlineStr">
        <is>
          <t>约旦安曼，Jubeyha区，邮政信箱401，邮政编码11941</t>
        </is>
      </c>
      <c r="G207" s="2" t="str">
        <f>=HYPERLINK("https://www.aacsb.edu/", "https://www.aacsb.edu/")</f>
        <v>https://www.aacsb.edu/</v>
      </c>
      <c r="H207" t="inlineStr">
        <is>
          <t>该协会致力于加强阿拉伯世界各大学之间的合作与交流。最近与 AACSB International 签署合作备忘录，推动在阿拉区域内高校提升国际化、标准化水平。</t>
        </is>
      </c>
      <c r="I207"/>
      <c r="J207"/>
      <c r="K207"/>
      <c r="L207" s="2" t="str">
        <f>=HYPERLINK("mailto:support@aacsb.edu", "support@aacsb.edu")</f>
        <v>support@aacsb.edu</v>
      </c>
      <c r="M207" t="inlineStr">
        <is>
          <t>1-888-795-2290</t>
        </is>
      </c>
      <c r="N207" s="3">
        <v>45978</v>
      </c>
      <c r="O207" t="inlineStr">
        <is>
          <t>已联系未回复</t>
        </is>
      </c>
      <c r="P207"/>
      <c r="Q207" t="inlineStr">
        <is>
          <t>南通市阿联酋团组</t>
        </is>
      </c>
      <c r="R207"/>
      <c r="S207"/>
      <c r="T207"/>
    </row>
    <row r="208" ht="25.5" customHeight="1">
      <c r="A208" t="inlineStr">
        <is>
          <t>迪拜关怀基金会（Dubai Cares）</t>
        </is>
      </c>
      <c r="B208" t="inlineStr">
        <is>
          <t>阿联酋</t>
        </is>
      </c>
      <c r="C208" t="inlineStr">
        <is>
          <t>迪拜</t>
        </is>
      </c>
      <c r="D208" t="inlineStr">
        <is>
          <t>慈善基金会</t>
        </is>
      </c>
      <c r="E208" t="inlineStr">
        <is>
          <t>教育</t>
        </is>
      </c>
      <c r="F208" t="inlineStr">
        <is>
          <t>阿联酋迪拜，迪拜医疗城，7区16号楼4层</t>
        </is>
      </c>
      <c r="G208" s="2" t="str">
        <f>=HYPERLINK("https://www.dubaicares.ae/?utm_source=chatgpt.com", "https://www.dubaicares.ae/?utm_source=chatgpt.com")</f>
        <v>https://www.dubaicares.ae/?utm_source=chatgpt.com</v>
      </c>
      <c r="H208" t="inlineStr">
        <is>
          <t>教育公益／慈善型组织，具有国际教育项目合作经验，可作为交流项目推广或合作平台。大学可以将其遍布全球的教育发展项目作为学生的实践基地，合作开发教育培训课程，或共同举办全球教育论坛。</t>
        </is>
      </c>
      <c r="I208" t="inlineStr">
        <is>
          <t>Mirna Agopian</t>
        </is>
      </c>
      <c r="J208" t="inlineStr">
        <is>
          <t>Senior Executive Assistant</t>
        </is>
      </c>
      <c r="K208"/>
      <c r="L208" s="2" t="str">
        <f>=HYPERLINK("mailto:Mirna.Agopian@Dubaicares.ae", "Mirna.Agopian@Dubaicares.ae")</f>
        <v>Mirna.Agopian@Dubaicares.ae</v>
      </c>
      <c r="M208"/>
      <c r="N208" s="3">
        <v>45978</v>
      </c>
      <c r="O208" t="inlineStr">
        <is>
          <t>已联系已回复</t>
        </is>
      </c>
      <c r="P208" t="inlineStr">
        <is>
          <t>联系上了，但是方向不对，表示我们有需求可以联系</t>
        </is>
      </c>
      <c r="Q208" t="inlineStr">
        <is>
          <t>南通市阿联酋团组</t>
        </is>
      </c>
      <c r="R208"/>
      <c r="S208" t="inlineStr">
        <is>
          <t>合作方向：
1. 国际发展合作与教育援助经验交流：组织中国负责国际发展合作、对外援助及教育国际化的政府部门（如国家国际发展合作署、教育部相关司局）及智库的因公出访团组，与基金会进行战略对话，学习其在全球教育项目设计、监测评估、公私伙伴关系（PPP）筹资与管理方面的先进模式。
2. 面向第三方的三方合作项目：探讨在双方共同关注的“一带一路”沿线或其他发展中国家，联合设计并实施教育援助示范项目，结合中国的基建与师资培训优势和基金会的资金与项目管理经验，提升教育援助的综合效益与可持续性。
3. 青年发展与职业技能培训项目合作：借鉴基金会“青年赋权”和“技能培养”类项目的成功经验，合作开发适用于中国欠发达地区或中亚、非洲等目标国家的青年职业技能培训与创业支持方案。
4. 教育创新与数字化学习试点：共同资助或推广在科学、技术、工程、数学（STEM）教育、女孩教育、以及利用数字技术提升偏远地区教育质量等方面的创新试点项目，并分享研究成果与最佳实践。
5. 参与全球教育治理对话与倡议：借助基金会与联合国机构、世界银行等的紧密联系，协助中国机构更深入地参与全球教育议程（如联合国可持续发展目标4）的讨论，共同发起或加入相关的多边倡议。
合作领域：
核心领域：全球基础教育普及、教育公平与包容性（特别是女童教育）、教师专业发展、学校管理与社区参与。
特色领域：教育领域的危机应对与人道主义援助、青少年生活技能与创业教育、教育技术创新。
合作特点：合作立足于 “发展中国家的教育系统性改善” ，具有鲜明的 “国际公益属性、战略性、实证导向和规模化潜力” 。基金会作为连接海湾国家资本与全球教育需求的桥梁，合作能有效撬动资源并引入国际最佳实践。</t>
        </is>
      </c>
      <c r="T208"/>
    </row>
    <row r="209" ht="25.5" customHeight="1">
      <c r="A209" t="inlineStr">
        <is>
          <t>可持续教育研究院（SEE Institute）</t>
        </is>
      </c>
      <c r="B209" t="inlineStr">
        <is>
          <t>阿联酋</t>
        </is>
      </c>
      <c r="C209" t="inlineStr">
        <is>
          <t>迪拜</t>
        </is>
      </c>
      <c r="D209" t="inlineStr">
        <is>
          <t>教育培训机构</t>
        </is>
      </c>
      <c r="E209" t="inlineStr">
        <is>
          <t>教育</t>
        </is>
      </c>
      <c r="F209" t="inlineStr">
        <is>
          <t>阿联酋迪拜，SEE学院大楼，Wadi Al Safa 7，绿色城市</t>
        </is>
      </c>
      <c r="G209" s="2" t="str">
        <f>=HYPERLINK("https://www.seeinstitute.ae/", "https://www.seeinstitute.ae")</f>
        <v>https://www.seeinstitute.ae</v>
      </c>
      <c r="H209" t="inlineStr">
        <is>
          <t>该机构为“可持续发展”教育研究与培训中心，涵盖教育、研究、创新及创业孵化。在建筑可持续、低碳、XR 沉浸式学习、研究项目等方面有实践。</t>
        </is>
      </c>
      <c r="I209"/>
      <c r="J209"/>
      <c r="K209"/>
      <c r="L209" s="2" t="str">
        <f>=HYPERLINK("mailto:info@seeinstitute.ae", "info@seeinstitute.ae")</f>
        <v>info@seeinstitute.ae</v>
      </c>
      <c r="M209" t="inlineStr">
        <is>
          <t>+971 4 540 7300</t>
        </is>
      </c>
      <c r="N209" s="3">
        <v>45978</v>
      </c>
      <c r="O209" t="inlineStr">
        <is>
          <t>已联系未回复</t>
        </is>
      </c>
      <c r="P209"/>
      <c r="Q209" t="inlineStr">
        <is>
          <t>南通市阿联酋团组</t>
        </is>
      </c>
      <c r="R209"/>
      <c r="S209"/>
      <c r="T209"/>
    </row>
    <row r="210" ht="25.5" customHeight="1">
      <c r="A210" t="inlineStr">
        <is>
          <t>桥向成功集团/阿联酋商业学院（Bridge To Success Group／U.A.E. Business Academy）</t>
        </is>
      </c>
      <c r="B210" t="inlineStr">
        <is>
          <t>阿联酋</t>
        </is>
      </c>
      <c r="C210" t="inlineStr">
        <is>
          <t>迪拜</t>
        </is>
      </c>
      <c r="D210" t="inlineStr">
        <is>
          <t>教育培训机构</t>
        </is>
      </c>
      <c r="E210" t="inlineStr">
        <is>
          <t>教育</t>
        </is>
      </c>
      <c r="F210" t="inlineStr">
        <is>
          <t>阿联酋阿布扎比，Al Marina区，Marina村，18号街</t>
        </is>
      </c>
      <c r="G210" s="2" t="str">
        <f>=HYPERLINK("https://www.uae.academy/?utm_source=chatgpt.com", "https://www.uae.academy/?utm_source=chatgpt.com")</f>
        <v>https://www.uae.academy/?utm_source=chatgpt.com</v>
      </c>
      <c r="H210" t="inlineStr">
        <is>
          <t>Bridge To Success Group 是一家位于阿布扎比的综合型商业与教育服务机构，其旗下的 UAE Business Academy 专注于提供职业培训、商业发展课程及国际交流支持。机构以“连接欧洲、亚洲、美洲与阿联酋”为使命，致力于为政府、企业与教育机构搭建合作与知识共享的平台，推动区域间的教育与商业互动。</t>
        </is>
      </c>
      <c r="I210"/>
      <c r="J210"/>
      <c r="K210"/>
      <c r="L210" s="2" t="str">
        <f>=HYPERLINK("mailto:info@bridge-to-success.com", "info@bridge-to-success.com")</f>
        <v>info@bridge-to-success.com</v>
      </c>
      <c r="M210" t="inlineStr">
        <is>
          <t>+971 5 0136 1676</t>
        </is>
      </c>
      <c r="N210" s="3">
        <v>45978</v>
      </c>
      <c r="O210" t="inlineStr">
        <is>
          <t>已联系未回复</t>
        </is>
      </c>
      <c r="P210"/>
      <c r="Q210" t="inlineStr">
        <is>
          <t>南通市阿联酋团组</t>
        </is>
      </c>
      <c r="R210"/>
      <c r="S210"/>
      <c r="T210"/>
    </row>
    <row r="211" ht="25.5" customHeight="1">
      <c r="A211" t="inlineStr">
        <is>
          <t>沙迦科研技术与创新园（Sharjah Research, Technology &amp; Innovation Park（SRTIP / SPARK））</t>
        </is>
      </c>
      <c r="B211" t="inlineStr">
        <is>
          <t>阿联酋</t>
        </is>
      </c>
      <c r="C211" t="inlineStr">
        <is>
          <t>沙迦</t>
        </is>
      </c>
      <c r="D211" t="inlineStr">
        <is>
          <t>科技园区 / 创新中心</t>
        </is>
      </c>
      <c r="E211" t="inlineStr">
        <is>
          <t>教育</t>
        </is>
      </c>
      <c r="F211" t="inlineStr">
        <is>
          <t>阿联酋沙迦，大学城，4楼A翼，邮政信箱66636</t>
        </is>
      </c>
      <c r="G211" s="2" t="str">
        <f>=HYPERLINK("https://srtip.ae/", "https://srtip.ae/")</f>
        <v>https://srtip.ae/</v>
      </c>
      <c r="H211" t="inlineStr">
        <is>
          <t>靠近大学城的研究与创新园区，设有孵化器、实验室與专业训练中心（如 SoiLab / Accelerator），适合理工类院校参访、产学合作与短期实训对接。</t>
        </is>
      </c>
      <c r="I211"/>
      <c r="J211"/>
      <c r="K211"/>
      <c r="L211" s="2" t="str">
        <f>=HYPERLINK("mailto:info@srtip.ae", "info@srtip.ae")</f>
        <v>info@srtip.ae</v>
      </c>
      <c r="M211" t="inlineStr">
        <is>
          <t>+971 6 502 2000</t>
        </is>
      </c>
      <c r="N211" s="3">
        <v>45978</v>
      </c>
      <c r="O211" t="inlineStr">
        <is>
          <t>已联系未回复</t>
        </is>
      </c>
      <c r="P211"/>
      <c r="Q211" t="inlineStr">
        <is>
          <t>南通市阿联酋团组</t>
        </is>
      </c>
      <c r="R211"/>
      <c r="S211"/>
      <c r="T211"/>
    </row>
    <row r="212" ht="25.5" customHeight="1">
      <c r="A212" t="inlineStr">
        <is>
          <t>皇家莎士比亚剧团（Royal Shakespeare Company）</t>
        </is>
      </c>
      <c r="B212" t="inlineStr">
        <is>
          <t>英国</t>
        </is>
      </c>
      <c r="C212" t="inlineStr">
        <is>
          <t>斯坦福沙翁小镇</t>
        </is>
      </c>
      <c r="D212" t="inlineStr">
        <is>
          <t>剧团</t>
        </is>
      </c>
      <c r="E212" t="inlineStr">
        <is>
          <t>戏剧文化</t>
        </is>
      </c>
      <c r="F212" t="inlineStr">
        <is>
          <t>英国沃里克郡，Stratford-upon-Avon，Waterside，邮政编码CV37 6BB</t>
        </is>
      </c>
      <c r="G212" s="2" t="str">
        <f>=HYPERLINK("https://www.rsc.org.uk/", "https://www.rsc.org.uk/")</f>
        <v>https://www.rsc.org.uk/</v>
      </c>
      <c r="H212" t="inlineStr">
        <is>
          <t>皇家莎士比亚剧团是全球最负盛名的戏剧团体之一，致力于演绎莎士比亚及其同代人的剧作。剧团常驻于莎翁故乡斯特拉特福的皇家莎士比亚剧院，以极具当代性与生命力的制作，将古典经典持续带给世界观众。</t>
        </is>
      </c>
      <c r="I212"/>
      <c r="J212"/>
      <c r="K212"/>
      <c r="L212" s="2" t="str">
        <f>=HYPERLINK("mailto:learning@rsc.org.uk", "learning@rsc.org.uk")</f>
        <v>learning@rsc.org.uk</v>
      </c>
      <c r="M212" t="inlineStr">
        <is>
          <t>+44 (0)1789 403444</t>
        </is>
      </c>
      <c r="N212" s="3">
        <v>45992</v>
      </c>
      <c r="O212" t="inlineStr">
        <is>
          <t>已联系已回复</t>
        </is>
      </c>
      <c r="P212" t="inlineStr">
        <is>
          <t>表示和中国其他单位已有合作，不能有其他的项目合作，但是可以考虑接待-与斯特拉特福学院一同与代表团见面</t>
        </is>
      </c>
      <c r="Q212" t="inlineStr">
        <is>
          <t>昆山文旅局-法国英国团组</t>
        </is>
      </c>
      <c r="R212"/>
      <c r="S212" t="inlineStr">
        <is>
          <t>合作方向：
1. 国家级戏剧艺术管理代表团战略对话：组织国家艺术基金、国家级剧院、重点戏剧院校及文化外交部门的高层因公出访团组，与RSC就 “经典剧目的当代演绎、剧团运营与艺术管理、戏剧教育的公共使命” 等议题进行战略级对话，并观摩其从排练到演出的完整制作流程。
2. 莎士比亚剧目导演、表演及舞台技术大师班：由RSC核心艺术家（导演、演员、声音与形体指导、舞美设计师）为中国戏剧工作者开设高规格专项工作坊，深度传授其对莎士比亚文本的解读方法、表演技巧及现代化舞台呈现技术。
3. 联合制作与经典剧目改编计划：启动中英艺术家联合创作项目，或将中国经典文学、历史题材以莎士比亚戏剧的结构与方法进行创造性改编，由双方艺术家共同研发、排练，制作具有国际水准的舞台作品。
4. 青少年戏剧教育与社会包容项目合作：借鉴RSC享誉全球的“第一对开本”教育项目经验，合作开发适合中国青少年的莎士比亚戏剧教育资源、教师培训体系及校园工作坊，促进戏剧在美育与社会融合中的作用。
5. 国际戏剧节共策与巡演合作：推动RSC经典或新创剧目在华进行高端巡演；同时，探索共同策划以“莎士比亚与世界”为主题的国际戏剧节，或邀请中国剧团在RSC平台上呈现中国视角的莎剧或原创剧目。
合作领域：
核心领域：莎士比亚戏剧研究、文本演绎与当代导演理念、古典戏剧表演训练、舞台设计与技术（灯光、音效、服装）。
特色领域：戏剧文学教育推广、剧团战略管理与艺术生产、数字技术在戏剧中的创新应用（如现场直播、VR戏剧体验）。
合作特点：合作代表着 “经典戏剧艺术最高标准的确立与对话” 。RSC不仅是一个演出团体，更是英语戏剧传统的守护者与创新引擎，合作具有 “权威性、典范性和资源稀缺性” 。</t>
        </is>
      </c>
      <c r="T212"/>
    </row>
    <row r="213" ht="25.5" customHeight="1">
      <c r="A213" t="inlineStr">
        <is>
          <t>熊坑剧院（The Bear Pit Theatre）</t>
        </is>
      </c>
      <c r="B213" t="inlineStr">
        <is>
          <t>英国</t>
        </is>
      </c>
      <c r="C213" t="inlineStr">
        <is>
          <t>斯坦福沙翁小镇</t>
        </is>
      </c>
      <c r="D213" t="inlineStr">
        <is>
          <t>剧团</t>
        </is>
      </c>
      <c r="E213" t="inlineStr">
        <is>
          <t>戏剧文化</t>
        </is>
      </c>
      <c r="F213" t="inlineStr">
        <is>
          <t>英国沃里克郡，Stratford-upon-Avon，Rother街，邮政编码CV37 6LU</t>
        </is>
      </c>
      <c r="G213" s="2" t="str">
        <f>=HYPERLINK("https://www.thebearpit.org.uk/", "https://www.thebearpit.org.uk/")</f>
        <v>https://www.thebearpit.org.uk/</v>
      </c>
      <c r="H213" t="inlineStr">
        <is>
          <t>2008 年成立，是 Stratford‑upon‑Avon 唯一“小剧院”（little theatre），为社区与业余戏剧、视觉/表演艺术提供演出空间与机会，非常适合社区剧团、小型戏剧与实验性／非商业制
作。</t>
        </is>
      </c>
      <c r="I213"/>
      <c r="J213"/>
      <c r="K213"/>
      <c r="L213" s="2" t="str">
        <f>=HYPERLINK("mailto:info@thebearpit.org.uk", "info@thebearpit.org.uk")</f>
        <v>info@thebearpit.org.uk</v>
      </c>
      <c r="M213"/>
      <c r="N213" s="3">
        <v>45992</v>
      </c>
      <c r="O213" t="inlineStr">
        <is>
          <t>已联系未回复</t>
        </is>
      </c>
      <c r="P213"/>
      <c r="Q213" t="inlineStr">
        <is>
          <t>昆山文旅局-法国英国团组</t>
        </is>
      </c>
      <c r="R213"/>
      <c r="S213"/>
      <c r="T213"/>
    </row>
    <row r="214" ht="25.5" customHeight="1">
      <c r="A214" t="inlineStr">
        <is>
          <t>斯特拉特福德剧院公司（Stratford Theatre Company）</t>
        </is>
      </c>
      <c r="B214" t="inlineStr">
        <is>
          <t>英国</t>
        </is>
      </c>
      <c r="C214" t="inlineStr">
        <is>
          <t>斯坦福沙翁小镇</t>
        </is>
      </c>
      <c r="D214" t="inlineStr">
        <is>
          <t>剧团</t>
        </is>
      </c>
      <c r="E214" t="inlineStr">
        <is>
          <t>戏剧文化</t>
        </is>
      </c>
      <c r="F214" t="inlineStr">
        <is>
          <t>英国沃里克郡，斯特拉特福德市</t>
        </is>
      </c>
      <c r="G214" s="2" t="str">
        <f>=HYPERLINK("https://stratfordtheatrecompany.org.uk/?utm_source=chatgpt.com", "https://stratfordtheatrecompany.org.uk/?utm_source=chatgpt.com")</f>
        <v>https://stratfordtheatrecompany.org.uk/?utm_source=chatgpt.com</v>
      </c>
      <c r="H214" t="inlineStr">
        <is>
          <t>地方性非营利／社团性质剧团，致力于支持本地创意群体、连接社区艺术团体与本地剧院场地，并为社区提供巡演／本地演出。</t>
        </is>
      </c>
      <c r="I214"/>
      <c r="J214"/>
      <c r="K214"/>
      <c r="L214" s="2" t="str">
        <f>=HYPERLINK("http://hello@stratfordtheatrecomp", "hello@stratfordtheatrecomp")</f>
        <v>hello@stratfordtheatrecomp</v>
      </c>
      <c r="M214" t="inlineStr">
        <is>
          <t>WhatsApp 07554 429526</t>
        </is>
      </c>
      <c r="N214" s="3">
        <v>45992</v>
      </c>
      <c r="O214" t="inlineStr">
        <is>
          <t>触达</t>
        </is>
      </c>
      <c r="P214" t="inlineStr">
        <is>
          <t>WhatsApp消息已读没有回复</t>
        </is>
      </c>
      <c r="Q214" t="inlineStr">
        <is>
          <t>昆山文旅局-法国英国团组</t>
        </is>
      </c>
      <c r="R214"/>
      <c r="S214"/>
      <c r="T214"/>
    </row>
    <row r="215" ht="25.5" customHeight="1">
      <c r="A215" t="inlineStr">
        <is>
          <t>斯特拉特福德音乐剧公司（Stratford Musical Theatre Company (SMTC)）</t>
        </is>
      </c>
      <c r="B215" t="inlineStr">
        <is>
          <t>英国</t>
        </is>
      </c>
      <c r="C215" t="inlineStr">
        <is>
          <t>斯坦福沙翁小镇</t>
        </is>
      </c>
      <c r="D215" t="inlineStr">
        <is>
          <t>剧团</t>
        </is>
      </c>
      <c r="E215" t="inlineStr">
        <is>
          <t>戏剧文化</t>
        </is>
      </c>
      <c r="F215" t="inlineStr">
        <is>
          <t>斯特拉特福德社区艺术场所（前身为剧院）</t>
        </is>
      </c>
      <c r="G215" s="2" t="str">
        <f>=HYPERLINK("https://www.stratfordmusicaltheatre.com/?utm_source=chatgpt.com", "https://www.stratfordmusicaltheatre.com/?utm_source=chatgpt.com")</f>
        <v>https://www.stratfordmusicaltheatre.com/?utm_source=chatgpt.com</v>
      </c>
      <c r="H215" t="inlineStr">
        <is>
          <t>成立于 1922 年，是历史悠久的社区／业余音乐剧团体，每年制作音乐剧、音乐会与合唱演出。演出与排练制度相对成熟，适合研究业余／半职业音乐剧／戏剧在小镇文化与社区层面的运作机制。</t>
        </is>
      </c>
      <c r="I215"/>
      <c r="J215"/>
      <c r="K215"/>
      <c r="L215" s="2" t="str">
        <f>=HYPERLINK("mailto:stratmusicals@gmail.com", "stratmusicals@gmail.com")</f>
        <v>stratmusicals@gmail.com</v>
      </c>
      <c r="M215"/>
      <c r="N215" s="3">
        <v>45992</v>
      </c>
      <c r="O215" t="inlineStr">
        <is>
          <t>已联系未回复</t>
        </is>
      </c>
      <c r="P215"/>
      <c r="Q215" t="inlineStr">
        <is>
          <t>昆山文旅局-法国英国团组</t>
        </is>
      </c>
      <c r="R215"/>
      <c r="S215"/>
      <c r="T215"/>
    </row>
    <row r="216" ht="25.5" customHeight="1">
      <c r="A216" t="inlineStr">
        <is>
          <t>Playbox 剧院公司（Playbox Theatre Company）</t>
        </is>
      </c>
      <c r="B216" t="inlineStr">
        <is>
          <t>英国</t>
        </is>
      </c>
      <c r="C216" t="inlineStr">
        <is>
          <t>斯坦福沙翁小镇</t>
        </is>
      </c>
      <c r="D216" t="inlineStr">
        <is>
          <t>剧团</t>
        </is>
      </c>
      <c r="E216" t="inlineStr">
        <is>
          <t>戏剧文化</t>
        </is>
      </c>
      <c r="F216" t="inlineStr">
        <is>
          <t>英国沃里克，斯特拉特福德路，梦想工厂，邮政编码CV34 6LE</t>
        </is>
      </c>
      <c r="G216" s="2" t="str">
        <f>=HYPERLINK("https://www.playboxtheatre.com/?utm_source=chatgpt.com", "https://www.playboxtheatre.com/?utm_source=chatgpt.com")</f>
        <v>https://www.playboxtheatre.com/?utm_source=chatgpt.com</v>
      </c>
      <c r="H216" t="inlineStr">
        <is>
          <t>专注儿童与青少年（约 3–25 岁）戏剧、音乐剧、舞台技术、声乐、写作、舞台打斗等综合表演艺术培训与制作；在 Warwick 的 “The Dream Factory” 拥有专用剧院，也在 Stratford‑upon‑Avon 及周边设有分支。</t>
        </is>
      </c>
      <c r="I216"/>
      <c r="J216"/>
      <c r="K216"/>
      <c r="L216" s="2" t="str">
        <f>=HYPERLINK("mailto:info@playboxtheatre.com", "info@playboxtheatre.com")</f>
        <v>info@playboxtheatre.com</v>
      </c>
      <c r="M216" t="inlineStr">
        <is>
          <t>+44 (0)1926 419555</t>
        </is>
      </c>
      <c r="N216" s="3">
        <v>45992</v>
      </c>
      <c r="O216" t="inlineStr">
        <is>
          <t>已联系未回复</t>
        </is>
      </c>
      <c r="P216"/>
      <c r="Q216" t="inlineStr">
        <is>
          <t>昆山文旅局-法国英国团组</t>
        </is>
      </c>
      <c r="R216"/>
      <c r="S216"/>
      <c r="T216"/>
    </row>
    <row r="217" ht="25.5" customHeight="1">
      <c r="A217" t="inlineStr">
        <is>
          <t>里昂国立高等戏剧艺术与技术学院（École Nationale Supérieure des Arts et Techniques du Théâtre）</t>
        </is>
      </c>
      <c r="B217" t="inlineStr">
        <is>
          <t>法国</t>
        </is>
      </c>
      <c r="C217" t="inlineStr">
        <is>
          <t>里昂</t>
        </is>
      </c>
      <c r="D217" t="inlineStr">
        <is>
          <t>高校</t>
        </is>
      </c>
      <c r="E217" t="inlineStr">
        <is>
          <t>戏剧文化</t>
        </is>
      </c>
      <c r="F217" t="inlineStr">
        <is>
          <t>法国里昂，Sœur Bouvier街4号，邮政编码69322</t>
        </is>
      </c>
      <c r="G217" s="2" t="str">
        <f>=HYPERLINK("https://www.ensatt.fr/?utm_source=chatgpt.com", "https://www.ensatt.fr/?utm_source=chatgpt.com")</f>
        <v>https://www.ensatt.fr/?utm_source=chatgpt.com</v>
      </c>
      <c r="H217" t="inlineStr">
        <is>
          <t>法国国家级戏剧学校 (公立)，培养演员、舞台技术人员 (灯光、音响、服装)、导演、戏剧编剧等多个戏剧相关职业。</t>
        </is>
      </c>
      <c r="I217" t="inlineStr">
        <is>
          <t>Muna Majeed HASSON</t>
        </is>
      </c>
      <c r="J217" t="inlineStr">
        <is>
          <t>国际项目管理、合作关系及专业整合专员</t>
        </is>
      </c>
      <c r="K217"/>
      <c r="L217" s="2" t="str">
        <f>=HYPERLINK("mailto:muna.majeedhasson@ensatt.fr", "muna.majeedhasson@ensatt.fr")</f>
        <v>muna.majeedhasson@ensatt.fr</v>
      </c>
      <c r="M217" t="inlineStr">
        <is>
          <t>+33 4 78 15 05 06</t>
        </is>
      </c>
      <c r="N217" s="3">
        <v>45990</v>
      </c>
      <c r="O217" t="inlineStr">
        <is>
          <t>已联系未回复</t>
        </is>
      </c>
      <c r="P217"/>
      <c r="Q217" t="inlineStr">
        <is>
          <t>昆山文旅局-法国英国团组</t>
        </is>
      </c>
      <c r="R217"/>
      <c r="S217"/>
      <c r="T217"/>
    </row>
    <row r="218" ht="25.5" customHeight="1">
      <c r="A218" t="inlineStr">
        <is>
          <t>雅克·勒柯克国际戏剧学校（École Internationale de Théâtre Jacques Lecoq）</t>
        </is>
      </c>
      <c r="B218" t="inlineStr">
        <is>
          <t>法国</t>
        </is>
      </c>
      <c r="C218" t="inlineStr">
        <is>
          <t>巴黎</t>
        </is>
      </c>
      <c r="D218" t="inlineStr">
        <is>
          <t>高校</t>
        </is>
      </c>
      <c r="E218" t="inlineStr">
        <is>
          <t>戏剧文化</t>
        </is>
      </c>
      <c r="F218" t="inlineStr">
        <is>
          <t>法国巴黎，Faubourg Saint-Denis大街57号，邮政编码75010（现已迁至阿维尼翁）</t>
        </is>
      </c>
      <c r="G218" s="2" t="str">
        <f>=HYPERLINK("http://ecole-jacqueslecoq.com/", "http://ecole-jacqueslecoq.com/")</f>
        <v>http://ecole-jacqueslecoq.com/</v>
      </c>
      <c r="H218" t="inlineStr">
        <is>
          <t>这所国际戏剧学校以身体戏剧 (physical theatre) 方法闻名，强调即兴、肢体动作和空间的表达，是创意戏剧训练的重要阵地。</t>
        </is>
      </c>
      <c r="I218" t="inlineStr">
        <is>
          <t>Aline Lepla</t>
        </is>
      </c>
      <c r="J218" t="inlineStr">
        <is>
          <t>培训与发展项目协调人 / 培训协调员</t>
        </is>
      </c>
      <c r="K218"/>
      <c r="L218" s="2" t="str">
        <f>=HYPERLINK("mailto:contact@ecole-jacqueslecoq.com", "contact@ecole-jacqueslecoq.com")</f>
        <v>contact@ecole-jacqueslecoq.com</v>
      </c>
      <c r="M218" t="inlineStr">
        <is>
          <t>+33 4 88 61 93 13</t>
        </is>
      </c>
      <c r="N218" s="3">
        <v>45990</v>
      </c>
      <c r="O218" t="inlineStr">
        <is>
          <t>已联系已回复</t>
        </is>
      </c>
      <c r="P218" t="inlineStr">
        <is>
          <t>表示校长可以接待，但是和其他公务有冲突，已邮件拒绝</t>
        </is>
      </c>
      <c r="Q218" t="inlineStr">
        <is>
          <t>昆山文旅局-法国英国团组,昆山文旅局英法团组</t>
        </is>
      </c>
      <c r="R218"/>
      <c r="S218" t="inlineStr">
        <is>
          <t>合作方向：
1. 高端戏剧教育代表团专项研修：组织国内顶尖戏剧院校、国家级剧院及导演协会的因公出访团组，进行沉浸式学术访问，深入观察其标志性的 “肢体动作分析法” 教学体系、面具使用课程及动态戏剧创作方法，开展关于当代戏剧教育范式的深度对话。
2. 戏剧教师与导演高级训练项目：选派国内核心戏剧教师、骨干导演及具有潜力的演员，参加该校为国际专业人士开设的短期高强度大师班或暑期学校，系统学习勒柯克方法，以革新本土戏剧教学与创作理念。
3. 联合研发戏剧工作方法与中国题材应用：基于勒柯克方法的核心原理，双方艺术家与教育家共同研发适用于中国表演者、并能与中国传统文化元素（如戏曲、民间故事）相融合的新型工作坊与创作方法。
4. 建立中国戏剧人才培训基地或认证点：探讨在中国合作设立由该校认证或提供方法论指导的培训中心，定期引进核心教师进行系统教学，为中国培养掌握国际前沿戏剧方法的创作与教育人才。
5. 国际戏剧节与学术研讨会合作：共同策划或参与以“身体与空间”、“即兴与创作”为主题的国际性戏剧节或学术论坛，提升中国在当代戏剧方法论领域的国际话语权。
合作领域：
核心领域：肢体戏剧训练、即兴创作方法、动态哑剧、中性面具与表情面具应用、戏剧空间构建。
特色领域：戏剧教育方法论、动作分析与戏剧构作、跨文化戏剧创作研究。
合作特点：合作直指 “戏剧创作的本源与方法论革新” ，具有极高的专业门槛与行业权威性。该校不提供传统学位，而是传授一套影响深远的创作哲学与工具，合作价值在于 “授人以渔” ，从根本上提升中国戏剧工作者的创作能力与美学视野。</t>
        </is>
      </c>
      <c r="T218"/>
    </row>
    <row r="219" ht="25.5" customHeight="1">
      <c r="A219" t="inlineStr">
        <is>
          <t>斯特拉斯堡国家戏剧艺术学院 / 国家剧院戏剧学校（École du Théâtre National de Strasbourg）</t>
        </is>
      </c>
      <c r="B219" t="inlineStr">
        <is>
          <t>法国</t>
        </is>
      </c>
      <c r="C219" t="inlineStr">
        <is>
          <t>斯特拉斯堡</t>
        </is>
      </c>
      <c r="D219" t="inlineStr">
        <is>
          <t>高校</t>
        </is>
      </c>
      <c r="E219" t="inlineStr">
        <is>
          <t>戏剧文化</t>
        </is>
      </c>
      <c r="F219" t="inlineStr">
        <is>
          <t>法国斯特拉斯堡，TNS国家剧院</t>
        </is>
      </c>
      <c r="G219" s="2" t="str">
        <f>=HYPERLINK("https://ecole.tns.fr/?utm_source=chatgpt.com", "https://ecole.tns.fr/?utm_source=chatgpt.com")</f>
        <v>https://ecole.tns.fr/?utm_source=chatgpt.com</v>
      </c>
      <c r="H219" t="inlineStr">
        <is>
          <t>该校训练演员、导演、戏剧编剧、舞台技术人员等，与国家剧院紧密合作，是法国重要的国家级戏剧教育机构。</t>
        </is>
      </c>
      <c r="I219"/>
      <c r="J219"/>
      <c r="K219"/>
      <c r="L219" s="2" t="str">
        <f>=HYPERLINK("mailto:accueil@tns.fr", "accueil@tns.fr")</f>
        <v>accueil@tns.fr</v>
      </c>
      <c r="M219" t="inlineStr">
        <is>
          <t>03 88 24 88 08</t>
        </is>
      </c>
      <c r="N219" s="3">
        <v>45990</v>
      </c>
      <c r="O219" t="inlineStr">
        <is>
          <t>已联系未回复</t>
        </is>
      </c>
      <c r="P219"/>
      <c r="Q219" t="inlineStr">
        <is>
          <t>昆山文旅局-法国英国团组</t>
        </is>
      </c>
      <c r="R219"/>
      <c r="S219"/>
      <c r="T219"/>
    </row>
    <row r="220" ht="25.5" customHeight="1">
      <c r="A220" t="inlineStr">
        <is>
          <t>EPAS 艺校 (唱歌 /舞蹈 /戏剧 /音乐剧)（EPAS (École de Chant, Danse, Théâtre et Comédie Musicale)）</t>
        </is>
      </c>
      <c r="B220" t="inlineStr">
        <is>
          <t>法国</t>
        </is>
      </c>
      <c r="C220" t="inlineStr">
        <is>
          <t>巴黎</t>
        </is>
      </c>
      <c r="D220" t="inlineStr">
        <is>
          <t>高校</t>
        </is>
      </c>
      <c r="E220" t="inlineStr">
        <is>
          <t>戏剧文化</t>
        </is>
      </c>
      <c r="F220" t="inlineStr">
        <is>
          <t>法国Mâcon，Bel Air街1号，邮政编码71000</t>
        </is>
      </c>
      <c r="G220" s="2" t="str">
        <f>=HYPERLINK("http://ecole-jacqueslecoq.com/", "http://ecole-jacqueslecoq.com/")</f>
        <v>http://ecole-jacqueslecoq.com/</v>
      </c>
      <c r="H220" t="inlineStr">
        <is>
          <t>EPAS 是一所专注于声乐、舞蹈、戏剧与音乐剧表演的专业艺术学院，致力于培养具备多学科综合能力的舞台艺术人才。学校以实践型课程与舞台制作为核心，与法国文化机构合作紧密，是艺术职业教育的重要力量</t>
        </is>
      </c>
      <c r="I220"/>
      <c r="J220"/>
      <c r="K220"/>
      <c r="L220" s="2" t="str">
        <f>=HYPERLINK("http://contact@epas.pro", "contact@epas.pro")</f>
        <v>contact@epas.pro</v>
      </c>
      <c r="M220" t="inlineStr">
        <is>
          <t>06 13 09 06 59</t>
        </is>
      </c>
      <c r="N220" s="3">
        <v>45990</v>
      </c>
      <c r="O220" t="inlineStr">
        <is>
          <t>已联系未回复</t>
        </is>
      </c>
      <c r="P220"/>
      <c r="Q220" t="inlineStr">
        <is>
          <t>昆山文旅局-法国英国团组,昆山文旅局英法团组</t>
        </is>
      </c>
      <c r="R220"/>
      <c r="S220"/>
      <c r="T220"/>
    </row>
    <row r="221" ht="25.5" customHeight="1">
      <c r="A221" t="inlineStr">
        <is>
          <t>法国演出管理专业人员协会（LAPAS – L’Association des Professionnel·le·s de l’Administration du Spectacle）</t>
        </is>
      </c>
      <c r="B221" t="inlineStr">
        <is>
          <t>法国</t>
        </is>
      </c>
      <c r="C221" t="inlineStr">
        <is>
          <t>巴黎</t>
        </is>
      </c>
      <c r="D221" t="inlineStr">
        <is>
          <t>协会</t>
        </is>
      </c>
      <c r="E221" t="inlineStr">
        <is>
          <t>戏剧文化</t>
        </is>
      </c>
      <c r="F221" t="inlineStr">
        <is>
          <t>法国巴黎，Cadet街9号，Cromot公司，邮政编码75009（总部）</t>
        </is>
      </c>
      <c r="G221" s="2" t="str">
        <f>=HYPERLINK("http://ecole-jacqueslecoq.com/", "http://ecole-jacqueslecoq.com/")</f>
        <v>http://ecole-jacqueslecoq.com/</v>
      </c>
      <c r="H221" t="inlineStr">
        <is>
          <t>专业从事演出 (spectacle vivant) 管理 (行政、制作、行政人员) 的协会，汇聚法国演出行业管理者，推动经验交流与政策倡议</t>
        </is>
      </c>
      <c r="I221"/>
      <c r="J221"/>
      <c r="K221"/>
      <c r="L221" s="2" t="str">
        <f>=HYPERLINK("mailto:contact@lapas.fr", "contact@lapas.fr")</f>
        <v>contact@lapas.fr</v>
      </c>
      <c r="M221"/>
      <c r="N221" s="3">
        <v>45990</v>
      </c>
      <c r="O221" t="inlineStr">
        <is>
          <t>已联系已回复</t>
        </is>
      </c>
      <c r="P221" t="inlineStr">
        <is>
          <t>表示想线上会议了解此次访问的详细需求</t>
        </is>
      </c>
      <c r="Q221" t="inlineStr">
        <is>
          <t>昆山文旅局-法国英国团组,昆山文旅局英法团组</t>
        </is>
      </c>
      <c r="R221"/>
      <c r="S221"/>
      <c r="T221"/>
    </row>
    <row r="222" ht="25.5" customHeight="1">
      <c r="A222" t="inlineStr">
        <is>
          <t>法国国家戏剧研究与行动协会（ANRAT – Association Nationale de Recherche et d’Action Théâtrale）</t>
        </is>
      </c>
      <c r="B222" t="inlineStr">
        <is>
          <t>法国</t>
        </is>
      </c>
      <c r="C222" t="inlineStr">
        <is>
          <t>巴黎</t>
        </is>
      </c>
      <c r="D222" t="inlineStr">
        <is>
          <t>协会</t>
        </is>
      </c>
      <c r="E222" t="inlineStr">
        <is>
          <t>戏剧文化</t>
        </is>
      </c>
      <c r="F222" t="inlineStr">
        <is>
          <t>法国蒙特勒伊，Douy Delcupe街70号，F93公司，邮政编码93100</t>
        </is>
      </c>
      <c r="G222" s="2" t="str">
        <f>=HYPERLINK("http://ecole-jacqueslecoq.com/", "http://ecole-jacqueslecoq.com/")</f>
        <v>http://ecole-jacqueslecoq.com/</v>
      </c>
      <c r="H222" t="inlineStr">
        <is>
          <t>自 1983 年成立，是法国戏剧研究与行动 (theater research &amp; action) 的全国性网络，连接艺术家、教师、戏剧介入者，推动戏剧教育和文化传播</t>
        </is>
      </c>
      <c r="I222"/>
      <c r="J222"/>
      <c r="K222"/>
      <c r="L222" s="2" t="str">
        <f>=HYPERLINK("mailto:contact@anrat.net", "contact@anrat.net")</f>
        <v>contact@anrat.net</v>
      </c>
      <c r="M222" t="inlineStr">
        <is>
          <t>01 49 88 66 30</t>
        </is>
      </c>
      <c r="N222" s="3">
        <v>45990</v>
      </c>
      <c r="O222" t="inlineStr">
        <is>
          <t>已联系已回复</t>
        </is>
      </c>
      <c r="P222" t="inlineStr">
        <is>
          <t>表示会根据我们的具体行程决定是否要见面</t>
        </is>
      </c>
      <c r="Q222" t="inlineStr">
        <is>
          <t>昆山文旅局-法国英国团组,昆山文旅局英法团组</t>
        </is>
      </c>
      <c r="R222"/>
      <c r="S222"/>
      <c r="T222"/>
    </row>
    <row r="223" ht="25.5" customHeight="1">
      <c r="A223" t="inlineStr">
        <is>
          <t>法国喜剧院 (国家剧团)（Comédie‑Française）</t>
        </is>
      </c>
      <c r="B223" t="inlineStr">
        <is>
          <t>法国</t>
        </is>
      </c>
      <c r="C223" t="inlineStr">
        <is>
          <t>巴黎</t>
        </is>
      </c>
      <c r="D223" t="inlineStr">
        <is>
          <t>剧团</t>
        </is>
      </c>
      <c r="E223" t="inlineStr">
        <is>
          <t>戏剧文化</t>
        </is>
      </c>
      <c r="F223" t="inlineStr">
        <is>
          <t>法国巴黎，Richelieu大剧院，Colette广场，邮政编码75001</t>
        </is>
      </c>
      <c r="G223" s="2" t="str">
        <f>=HYPERLINK("http://ecole-jacqueslecoq.com/", "http://ecole-jacqueslecoq.com/")</f>
        <v>http://ecole-jacqueslecoq.com/</v>
      </c>
      <c r="H223" t="inlineStr">
        <is>
          <t>法国国家剧团 (state theatre)，历史悠久，是拥有常驻演员 (troupe permanente) 的重要剧院，被视为法国戏剧的象征</t>
        </is>
      </c>
      <c r="I223"/>
      <c r="J223"/>
      <c r="K223"/>
      <c r="L223" s="2" t="str">
        <f>=HYPERLINK("http://informations@comedie‑francaise.orgcontact@comedie-francaise.orgcommunication@comedie-francaise.org", "informations@comedie‑francaise.orgcontact@comedie-francaise.orgcommunication@comedie-francaise.org")</f>
        <v>informations@comedie‑francaise.orgcontact@comedie-francaise.orgcommunication@comedie-francaise.org</v>
      </c>
      <c r="M223" t="inlineStr">
        <is>
          <t>01 44 58 15 15</t>
        </is>
      </c>
      <c r="N223" s="3">
        <v>45990</v>
      </c>
      <c r="O223" t="inlineStr">
        <is>
          <t>已联系未回复</t>
        </is>
      </c>
      <c r="P223"/>
      <c r="Q223" t="inlineStr">
        <is>
          <t>昆山文旅局-法国英国团组,昆山文旅局英法团组</t>
        </is>
      </c>
      <c r="R223"/>
      <c r="S223"/>
      <c r="T223"/>
    </row>
    <row r="224" ht="25.5" customHeight="1">
      <c r="A224" t="inlineStr">
        <is>
          <t>ACTA 戏剧创作与视听协会 /剧团（Compagnie ACTA (ACTA – Association pour la Création Théâtrale et Audiovisuelle)）</t>
        </is>
      </c>
      <c r="B224" t="inlineStr">
        <is>
          <t>法国</t>
        </is>
      </c>
      <c r="C224" t="inlineStr">
        <is>
          <t>巴黎</t>
        </is>
      </c>
      <c r="D224" t="inlineStr">
        <is>
          <t>剧团</t>
        </is>
      </c>
      <c r="E224" t="inlineStr">
        <is>
          <t>戏剧文化</t>
        </is>
      </c>
      <c r="F224" t="inlineStr">
        <is>
          <t>法国Villiers-le-Bel，Léon Blum街4号，邮政编码95400</t>
        </is>
      </c>
      <c r="G224" s="2" t="str">
        <f>=HYPERLINK("http://ecole-jacqueslecoq.com/", "http://ecole-jacqueslecoq.com/")</f>
        <v>http://ecole-jacqueslecoq.com/</v>
      </c>
      <c r="H224" t="inlineStr">
        <is>
          <t>这是一个创作和传播面向儿童 / 青年的戏剧与视听作品 (théâtre + audiovisuel) 的剧团 /协会，作品形式多样 (音乐、舞蹈、街头演出等)</t>
        </is>
      </c>
      <c r="I224"/>
      <c r="J224"/>
      <c r="K224"/>
      <c r="L224" s="2" t="str">
        <f>=HYPERLINK("mailto:contact@acta95.net", "contact@acta95.net")</f>
        <v>contact@acta95.net</v>
      </c>
      <c r="M224" t="inlineStr">
        <is>
          <t>01 39 92 46 81</t>
        </is>
      </c>
      <c r="N224" s="3">
        <v>45990</v>
      </c>
      <c r="O224" t="inlineStr">
        <is>
          <t>已联系未回复</t>
        </is>
      </c>
      <c r="P224"/>
      <c r="Q224" t="inlineStr">
        <is>
          <t>昆山文旅局-法国英国团组,昆山文旅局英法团组</t>
        </is>
      </c>
      <c r="R224"/>
      <c r="S224"/>
      <c r="T224"/>
    </row>
    <row r="225" ht="25.5" customHeight="1">
      <c r="A225" t="inlineStr">
        <is>
          <t>美好故事剧团（Compagnie La Belle Histoire）</t>
        </is>
      </c>
      <c r="B225" t="inlineStr">
        <is>
          <t>法国</t>
        </is>
      </c>
      <c r="C225" t="inlineStr">
        <is>
          <t>阿维尼翁</t>
        </is>
      </c>
      <c r="D225" t="inlineStr">
        <is>
          <t>剧团</t>
        </is>
      </c>
      <c r="E225" t="inlineStr">
        <is>
          <t>戏剧文化</t>
        </is>
      </c>
      <c r="F225" t="inlineStr">
        <is>
          <t>法国Villeneuve d’Ascq，Créativité大道1号，邮政编码59650</t>
        </is>
      </c>
      <c r="G225" s="2" t="str">
        <f>=HYPERLINK("https://www.labellehistoire.fr/?utm_source=chatgpt.com", "https://www.labellehistoire.fr/?utm_source=chatgpt.com")</f>
        <v>https://www.labellehistoire.fr/?utm_source=chatgpt.com</v>
      </c>
      <c r="H225" t="inlineStr">
        <is>
          <t>成立于 1999 年，是一个专业剧团 (compagnie)，“美好故事” (La Belle Histoire) 致力于创作公众参与型戏剧、社区剧场和社会议题剧 (théâtre d’intervention)</t>
        </is>
      </c>
      <c r="I225" t="inlineStr">
        <is>
          <t>Cloé DESCHEPPER</t>
        </is>
      </c>
      <c r="J225"/>
      <c r="K225"/>
      <c r="L225" s="2" t="str">
        <f>=HYPERLINK("mailto:cloe@labellehistoire.fr", "cloe@labellehistoire.fr")</f>
        <v>cloe@labellehistoire.fr</v>
      </c>
      <c r="M225"/>
      <c r="N225" s="3">
        <v>45990</v>
      </c>
      <c r="O225" t="inlineStr">
        <is>
          <t>已联系已回复</t>
        </is>
      </c>
      <c r="P225" t="inlineStr">
        <is>
          <t>已表示可以接待，但是我方距离较远且行程有冲突，已拒绝</t>
        </is>
      </c>
      <c r="Q225" t="inlineStr">
        <is>
          <t>昆山文旅局-法国英国团组</t>
        </is>
      </c>
      <c r="R225"/>
      <c r="S225" t="inlineStr">
        <is>
          <t>合作方向：
1. 专业戏剧艺术代表团交流互访：组织国内文化主管部门、国有文艺院团、戏剧院校及艺术节组委会的因公出访团组，与该剧团进行深度艺术对话，观摩其创作流程、排练工作坊及代表性剧目，并就中法戏剧艺术合作展开务实洽谈。
2. 戏剧创作与导演大师班：邀请剧团核心艺术家（导演、编剧、演员）来华或在线为中国戏剧工作者举办短期高强度的创作大师班、表演训练营，聚焦肢体剧场、文本创作、当代导演手法等专业领域。
3. 联合创作与剧目制作：围绕特定主题（如中法文学经典当代改编、共同历史题材等），启动中法艺术家联合创作项目，共同研发并制作一部或多部舞台作品，在两国巡回演出。
4. 戏剧教育与社会融入项目合作：借鉴该剧团可能开展的社区戏剧、青少年戏剧工作坊等经验，与中国地方文化馆、学校或社区中心合作，开发并实施以戏剧为工具的公共文化服务与社会教育项目。
5. 参加/共建戏剧艺术节与展演平台：推动该剧团参与中国举办的国际戏剧节，或协助中国优秀剧目通过其网络在法国及欧洲相关艺术节呈现；探索共同策划举办聚焦中法青年戏剧的小型主题艺术节。
合作领域：
核心领域：当代剧场创作、肢体戏剧与默剧、文学改编剧目、戏剧导演艺术。
特色领域：社区参与式戏剧、戏剧教育工作坊、跨文化戏剧制作。
合作特点：合作聚焦于 “舞台艺术的现场性、创作过程的实践性与人文关怀的社会性” 。剧团作为艺术生产实体，合作能直接触及创作核心，成果直观（剧目、工作坊），具备很强的文化交流感染力与公众影响力。</t>
        </is>
      </c>
      <c r="T225"/>
    </row>
    <row r="226" ht="25.5" customHeight="1">
      <c r="A226" t="inlineStr">
        <is>
          <t>联盟学院（L’Académie de l’Union – École Supérieure de Théâtre du Limousin）</t>
        </is>
      </c>
      <c r="B226" t="inlineStr">
        <is>
          <t>法国</t>
        </is>
      </c>
      <c r="C226" t="inlineStr">
        <is>
          <t>利摩日</t>
        </is>
      </c>
      <c r="D226" t="inlineStr">
        <is>
          <t>高校</t>
        </is>
      </c>
      <c r="E226" t="inlineStr">
        <is>
          <t>戏剧文化</t>
        </is>
      </c>
      <c r="F226" t="inlineStr">
        <is>
          <t>法国利摩日（联盟剧院）和Saint-Priest-Taurion（城堡园区）</t>
        </is>
      </c>
      <c r="G226" s="2" t="str">
        <f>=HYPERLINK("https://www.theatre-union.fr/ecole/?utm_source=chatgpt.com", "https://www.theatre-union.fr/ecole/?utm_source=chatgpt.com")</f>
        <v>https://www.theatre-union.fr/ecole/?utm_source=chatgpt.com</v>
      </c>
      <c r="H226" t="inlineStr">
        <is>
          <t>这所专业戏剧学校提供三年演员训练 (DNSPC)，与地方大学合作进行文化与表演艺术教育，有良好的戏剧人才培养经验</t>
        </is>
      </c>
      <c r="I226"/>
      <c r="J226"/>
      <c r="K226"/>
      <c r="L226" s="2" t="str">
        <f>=HYPERLINK("mailto:coordination@ecole-union.fr", "coordination@ecole-union.fradm@academietheatrelimoges.combilletterie@théâtre-union.fr")</f>
        <v>coordination@ecole-union.fradm@academietheatrelimoges.combilletterie@théâtre-union.fr</v>
      </c>
      <c r="M226" t="inlineStr">
        <is>
          <t>+33 5 55 37 93 93</t>
        </is>
      </c>
      <c r="N226" s="3">
        <v>45990</v>
      </c>
      <c r="O226" t="inlineStr">
        <is>
          <t>已联系未回复</t>
        </is>
      </c>
      <c r="P226"/>
      <c r="Q226" t="inlineStr">
        <is>
          <t>昆山文旅局-法国英国团组</t>
        </is>
      </c>
      <c r="R226"/>
      <c r="S226"/>
      <c r="T226"/>
    </row>
    <row r="227" ht="25.5" customHeight="1">
      <c r="A227" t="inlineStr">
        <is>
          <t>法国国家马戏、街头艺术和戏剧中心（ARTCENA (Centre national des arts du cirque, de la rue et du théâtre)）</t>
        </is>
      </c>
      <c r="B227" t="inlineStr">
        <is>
          <t>法国</t>
        </is>
      </c>
      <c r="C227" t="inlineStr">
        <is>
          <t>巴黎</t>
        </is>
      </c>
      <c r="D227" t="inlineStr">
        <is>
          <t>文化机构</t>
        </is>
      </c>
      <c r="E227" t="inlineStr">
        <is>
          <t>戏剧文化</t>
        </is>
      </c>
      <c r="F227" t="inlineStr">
        <is>
          <t>法国巴黎，Legendre街134号，邮政编码75017</t>
        </is>
      </c>
      <c r="G227" s="2" t="str">
        <f>=HYPERLINK("http://ecole-jacqueslecoq.com/", "http://ecole-jacqueslecoq.com/")</f>
        <v>http://ecole-jacqueslecoq.com/</v>
      </c>
      <c r="H227" t="inlineStr">
        <is>
          <t>ARTCENA 是由法国文化部支持的国家机构，负责戏剧、街头艺术和马戏艺术的政策研究、专业支持和国际推广</t>
        </is>
      </c>
      <c r="I227" t="inlineStr">
        <is>
          <t>Kinga Kecskés</t>
        </is>
      </c>
      <c r="J227" t="inlineStr">
        <is>
          <t>国际项目经理</t>
        </is>
      </c>
      <c r="K227"/>
      <c r="L227" s="2" t="str">
        <f>=HYPERLINK("mailto:kinga.kecskes@artcena.fr", "kinga.kecskes@artcena.fr")</f>
        <v>kinga.kecskes@artcena.fr</v>
      </c>
      <c r="M227" t="inlineStr">
        <is>
          <t>01 43 57 90 34</t>
        </is>
      </c>
      <c r="N227" s="3">
        <v>45990</v>
      </c>
      <c r="O227" t="inlineStr">
        <is>
          <t>已联系已回复</t>
        </is>
      </c>
      <c r="P227" t="inlineStr">
        <is>
          <t>表示已经将相关的请求转交给国际关系团队</t>
        </is>
      </c>
      <c r="Q227" t="inlineStr">
        <is>
          <t>昆山文旅局-法国英国团组,昆山文旅局英法团组</t>
        </is>
      </c>
      <c r="R227"/>
      <c r="S227"/>
      <c r="T227"/>
    </row>
    <row r="228" ht="25.5" customHeight="1">
      <c r="A228" t="inlineStr">
        <is>
          <t>文化政策观察中心（Observatoire des politiques culturelles (OPC)）</t>
        </is>
      </c>
      <c r="B228" t="inlineStr">
        <is>
          <t>法国</t>
        </is>
      </c>
      <c r="C228" t="inlineStr">
        <is>
          <t>阿维尼翁</t>
        </is>
      </c>
      <c r="D228" t="inlineStr">
        <is>
          <t>文化机构</t>
        </is>
      </c>
      <c r="E228" t="inlineStr">
        <is>
          <t>戏剧文化</t>
        </is>
      </c>
      <c r="F228" t="inlineStr">
        <is>
          <t>法国格勒诺布尔，Vieux Temple街1号，邮政编码38000</t>
        </is>
      </c>
      <c r="G228" s="2" t="str">
        <f>=HYPERLINK("https://www.observatoire-culture.net/?utm_source=chatgpt.com", "https://www.observatoire-culture.net/?utm_source=chatgpt.com")</f>
        <v>https://www.observatoire-culture.net/?utm_source=chatgpt.com</v>
      </c>
      <c r="H228" t="inlineStr">
        <is>
          <t>OPC 是一个致力于文化政策研究、公共文化参与和文化规划的全国性机构，发布报告、组织研讨并促进地方文化政策创新</t>
        </is>
      </c>
      <c r="I228"/>
      <c r="J228" t="inlineStr">
        <is>
          <t>合作中心</t>
        </is>
      </c>
      <c r="K228"/>
      <c r="L228" s="2" t="str">
        <f>=HYPERLINK("mailto:Cooperation1@observatoire-culture.net", "Cooperation1@observatoire-culture.net")</f>
        <v>Cooperation1@observatoire-culture.net</v>
      </c>
      <c r="M228" t="inlineStr">
        <is>
          <t>04 76 44 33 26</t>
        </is>
      </c>
      <c r="N228" s="3">
        <v>45990</v>
      </c>
      <c r="O228" t="inlineStr">
        <is>
          <t>已联系未回复</t>
        </is>
      </c>
      <c r="P228"/>
      <c r="Q228" t="inlineStr">
        <is>
          <t>昆山文旅局-法国英国团组</t>
        </is>
      </c>
      <c r="R228"/>
      <c r="S228"/>
      <c r="T228"/>
    </row>
    <row r="229" ht="25.5" customHeight="1">
      <c r="A229" t="inlineStr">
        <is>
          <t>巴黎第八大学文化与传播系（UFR Culture &amp; Communication, Université Paris 8）</t>
        </is>
      </c>
      <c r="B229" t="inlineStr">
        <is>
          <t>法国</t>
        </is>
      </c>
      <c r="C229" t="inlineStr">
        <is>
          <t>巴黎</t>
        </is>
      </c>
      <c r="D229" t="inlineStr">
        <is>
          <t>高校</t>
        </is>
      </c>
      <c r="E229" t="inlineStr">
        <is>
          <t>戏剧文化</t>
        </is>
      </c>
      <c r="F229" t="inlineStr">
        <is>
          <t>法国圣丹尼斯，Liberté街2号，邮政编码93526</t>
        </is>
      </c>
      <c r="G229" s="2" t="str">
        <f>=HYPERLINK("http://ecole-jacqueslecoq.com/", "http://ecole-jacqueslecoq.com/")</f>
        <v>http://ecole-jacqueslecoq.com/</v>
      </c>
      <c r="H229" t="inlineStr">
        <is>
          <t>巴黎第八大学的文化与传播系 (UFR) 拥有戏剧、媒体、文化政策等研究方向，是培养研究型和实践型文化人才的重要学术单位</t>
        </is>
      </c>
      <c r="I229" t="inlineStr">
        <is>
          <t>Jacob MATTHEWS</t>
        </is>
      </c>
      <c r="J229" t="inlineStr">
        <is>
          <t>国际交流负责人</t>
        </is>
      </c>
      <c r="K229"/>
      <c r="L229" s="2" t="str">
        <f>=HYPERLINK("mailto:jacob.matthews@univ-paris8.fr", "jacob.matthews@univ-paris8.fr")</f>
        <v>jacob.matthews@univ-paris8.fr</v>
      </c>
      <c r="M229"/>
      <c r="N229" s="3">
        <v>45990</v>
      </c>
      <c r="O229" t="inlineStr">
        <is>
          <t>已联系已回复</t>
        </is>
      </c>
      <c r="P229" t="inlineStr">
        <is>
          <t>表示可能在七月初见面，特别是与对方本学年末接替担任文化与传播系国际交流事务负责人的同事会面。</t>
        </is>
      </c>
      <c r="Q229" t="inlineStr">
        <is>
          <t>昆山文旅局-法国英国团组,昆山文旅局英法团组</t>
        </is>
      </c>
      <c r="R229"/>
      <c r="S229"/>
      <c r="T229"/>
    </row>
    <row r="230" ht="25.5" customHeight="1">
      <c r="A230" t="inlineStr">
        <is>
          <t>中法艺术交流协会（Association d’Échanges Artistiques Franco‑Chinois (AEAFC)）</t>
        </is>
      </c>
      <c r="B230" t="inlineStr">
        <is>
          <t>法国</t>
        </is>
      </c>
      <c r="C230" t="inlineStr">
        <is>
          <t>阿维尼翁</t>
        </is>
      </c>
      <c r="D230" t="inlineStr">
        <is>
          <t>协会</t>
        </is>
      </c>
      <c r="E230" t="inlineStr">
        <is>
          <t>戏剧文化</t>
        </is>
      </c>
      <c r="F230" t="inlineStr">
        <is>
          <t>法国艾克斯‑普罗旺斯，Loubon街15号，邮政编码13100</t>
        </is>
      </c>
      <c r="G230" s="2" t="str">
        <f>=HYPERLINK("http://aeafc.fr", "aeafc.fr")</f>
        <v>aeafc.fr</v>
      </c>
      <c r="H230" t="inlineStr">
        <is>
          <t>AEAFC 是 2010 年成立、2016 年在法国注册的中法文化艺术交流协会，致力于推动中国与法国之间的艺术与文化交流。它的主要使命是为在法国的中国艺术家提供支持，并通过展览、文化交流活动、学术访谈等方式搭建双边艺术文化合作平台。</t>
        </is>
      </c>
      <c r="I230" t="inlineStr">
        <is>
          <t>TANG Lixia</t>
        </is>
      </c>
      <c r="J230" t="inlineStr">
        <is>
          <t>协会主席</t>
        </is>
      </c>
      <c r="K230"/>
      <c r="L230" s="2" t="str">
        <f>=HYPERLINK("mailto:AEAFC.ART@outlook.com", "AEAFC.ART@outlook.com")</f>
        <v>AEAFC.ART@outlook.com</v>
      </c>
      <c r="M230"/>
      <c r="N230" s="3">
        <v>45990</v>
      </c>
      <c r="O230" t="inlineStr">
        <is>
          <t>已联系已回复</t>
        </is>
      </c>
      <c r="P230" t="inlineStr">
        <is>
          <t>可通过WhatsApp is +33603534123和WeChat lixia-tang联系</t>
        </is>
      </c>
      <c r="Q230" t="inlineStr">
        <is>
          <t>昆山文旅局-法国英国团组</t>
        </is>
      </c>
      <c r="R230"/>
      <c r="S230" t="inlineStr">
        <is>
          <t>合作方向：
1. 政府文化代表团专业接待与项目对接：为中国各省市文旅厅局、宣传部、文联等因公出访团组提供在法国的专业化艺术领域接待服务，精准对接法国公立艺术机构、知名艺术家工作室、艺术节主办方及文化政策制定者，高效达成文化交流与项目合作意向。
2. 艺术家与策展人国际驻留计划：依托其在法国的网络，为中国优秀艺术家、青年策展人及非物质文化遗产传承人设计并实施高质量的短期驻留项目，提供创作空间、导师指导和本地展览机会。
3. 联合策展与艺术展览项目：与国内美术馆、博物馆合作，共同策划和实施在法国或中国的主题性艺术展览，涵盖当代艺术、传统工艺、数字艺术等多个门类，提升展览的国际学术水准与影响力。
4. 艺术管理人才与创意产业培训：面向国内艺术机构管理者、文化产业园区运营者及文创企业负责人，组织在法国的专题研修，内容涵盖艺术机构运营、艺术市场法规、文化项目融资、公共艺术策划等。
5. 艺术节庆参与与国际网络拓展：协助国内城市或艺术节主办方深度参与法国乃至欧洲的重要艺术节庆（如阿维尼翁戏剧节、巴黎白夜艺术节等），并策划举办“中国文化周”等主题海外推广活动。
合作领域：
核心领域：视觉艺术（绘画、雕塑、装置）、表演艺术（戏剧、舞蹈）、文化遗产与当代转换、艺术管理与策展。
特色领域：公共艺术项目、艺术科技融合、中法艺术教育与青少年交流。
合作特点：合作以 “艺术专业性与文化深度对话” 为核心，强调项目的原创性、学术性和长期性。协会作为专业中介，能有效规避文化隔阂，确保交流项目的艺术品质与合规性，特别适合旨在提升文化软实力和推动中华文化“走出去”的因公出访任务。</t>
        </is>
      </c>
      <c r="T230"/>
    </row>
    <row r="231" ht="25.5" customHeight="1">
      <c r="A231" t="inlineStr">
        <is>
          <t>斯特拉特福德学院（Stratford-upon-Avon College）</t>
        </is>
      </c>
      <c r="B231" t="inlineStr">
        <is>
          <t>英国</t>
        </is>
      </c>
      <c r="C231" t="inlineStr">
        <is>
          <t>斯坦福沙翁小镇</t>
        </is>
      </c>
      <c r="D231" t="inlineStr">
        <is>
          <t>高校</t>
        </is>
      </c>
      <c r="E231" t="inlineStr">
        <is>
          <t>戏剧文化</t>
        </is>
      </c>
      <c r="F231" t="inlineStr">
        <is>
          <t>英国斯特拉特福德，Alcester路北，The Willows，邮政编码CV37 9QR</t>
        </is>
      </c>
      <c r="G231" s="2" t="str">
        <f>=HYPERLINK("https://www.stratford.ac.uk/", "https://www.stratford.ac.uk")</f>
        <v>https://www.stratford.ac.uk</v>
      </c>
      <c r="H231" t="inlineStr">
        <is>
          <t>本地 Further Education 学院 — 提供表演艺术 / 戏剧 /音乐 /舞蹈 /制作等课程，有专业剧场、排练场地、舞台技术设施。</t>
        </is>
      </c>
      <c r="I231" t="inlineStr">
        <is>
          <t>Nancy Buckley</t>
        </is>
      </c>
      <c r="J231" t="inlineStr">
        <is>
          <t>副校长，业务增长、技能和合作关系</t>
        </is>
      </c>
      <c r="K231"/>
      <c r="L231" s="2" t="str">
        <f>=HYPERLINK("mailto:Nancy.buckley@solihull.ac.uk", "Nancy.buckley@solihull.ac.uk")</f>
        <v>Nancy.buckley@solihull.ac.uk</v>
      </c>
      <c r="M231"/>
      <c r="N231" s="3">
        <v>45992</v>
      </c>
      <c r="O231" t="inlineStr">
        <is>
          <t>可长期合作</t>
        </is>
      </c>
      <c r="P231" t="inlineStr">
        <is>
          <t>已接待，并表示希望将集体的创意艺术技术和传统传播到各大洲，有更多的合作</t>
        </is>
      </c>
      <c r="Q231" t="inlineStr">
        <is>
          <t>昆山文旅局-法国英国团组</t>
        </is>
      </c>
      <c r="R231"/>
      <c r="S231" t="inlineStr">
        <is>
          <t>合作方向：
1. 学生短期访学与技能培训：组织中国职业院校或应用型大学学生赴英，进行以实践技能和英语应用为核心的短期课程与文化交流。
2. 教师互访与教学法培训：开展职业教育领域教师的互访交流，重点围绕英国BTEC等职业资格证书课程的教学方法、评估体系及课程开发进行培训。
3. 联合课程开发与资质认证：合作开发符合国际标准的专业课程模块，并探索引入英国职业资格认证（如BTEC）的合作路径。
4. 学术与文化交流活动：结合学院所在地（莎士比亚故乡）的文化资源，共同设计融入英国语言文学、戏剧艺术等特色的主题夏/冬令营。
5. 升学路径合作：为中国职业院校学生提供衔接英国高等教育（如合作大学本科课程）的桥梁课程或升学指导。
合作领域：
核心领域：职业教育和培训（尤其是酒店管理、艺术设计、商务、信息技术等其优势学科）、英语语言教学。
特色领域：创意产业（如戏剧、媒体制作）、英国文化体验式学习。
模式特点：合作强调实践性、技能导向和资格认证，紧密结合英国职业教育体系，并充分利用其独特的人文地理资源。</t>
        </is>
      </c>
      <c r="T231"/>
    </row>
    <row r="232" ht="25.5" customHeight="1">
      <c r="A232" t="inlineStr">
        <is>
          <t>里斯本高等理工学院（Instituto Superior Técnico）</t>
        </is>
      </c>
      <c r="B232" t="inlineStr">
        <is>
          <t>葡萄牙</t>
        </is>
      </c>
      <c r="C232" t="inlineStr">
        <is>
          <t>里斯本</t>
        </is>
      </c>
      <c r="D232" t="inlineStr">
        <is>
          <t>高校</t>
        </is>
      </c>
      <c r="E232" t="inlineStr">
        <is>
          <t>教育</t>
        </is>
      </c>
      <c r="F232" t="inlineStr">
        <is>
          <t>葡萄牙里斯本，Rovisco Pais大道1号，邮政编码1049-001</t>
        </is>
      </c>
      <c r="G232" s="2" t="str">
        <f>=HYPERLINK("https://tecnico.ulisboa.pt/en/", "https://tecnico.ulisboa.pt/en/")</f>
        <v>https://tecnico.ulisboa.pt/en/</v>
      </c>
      <c r="H232" t="inlineStr">
        <is>
          <t>葡萄牙顶尖工程 / 理工学院，覆盖建筑、土木、机械、电气、计算机、能源、材料等多个工程与科学方向。</t>
        </is>
      </c>
      <c r="I232" t="inlineStr">
        <is>
          <t>Luis A. Moreira</t>
        </is>
      </c>
      <c r="J232" t="inlineStr">
        <is>
          <t>国际事务负责人</t>
        </is>
      </c>
      <c r="K232"/>
      <c r="L232" s="2" t="str">
        <f>=HYPERLINK("mailto:luis.moreira@tecnico.ulisboa.pt", "luis.moreira@tecnico.ulisboa.pt")</f>
        <v>luis.moreira@tecnico.ulisboa.pt</v>
      </c>
      <c r="M232"/>
      <c r="N232" s="3">
        <v>45994</v>
      </c>
      <c r="O232" t="inlineStr">
        <is>
          <t>已联系未回复</t>
        </is>
      </c>
      <c r="P232"/>
      <c r="Q232" t="inlineStr">
        <is>
          <t>嘉兴大学-西班牙葡萄牙</t>
        </is>
      </c>
      <c r="R232"/>
      <c r="S232"/>
      <c r="T232"/>
    </row>
    <row r="233" ht="25.5" customHeight="1">
      <c r="A233" t="inlineStr">
        <is>
          <t>葡萄牙波尔图大学（University of Porto ）</t>
        </is>
      </c>
      <c r="B233" t="inlineStr">
        <is>
          <t>葡萄牙</t>
        </is>
      </c>
      <c r="C233" t="inlineStr">
        <is>
          <t>波尔图</t>
        </is>
      </c>
      <c r="D233" t="inlineStr">
        <is>
          <t>高校</t>
        </is>
      </c>
      <c r="E233" t="inlineStr">
        <is>
          <t>教育</t>
        </is>
      </c>
      <c r="F233" t="inlineStr">
        <is>
          <t>葡萄牙波尔图，Dr. Roberto Frias街，邮政编码4200-465</t>
        </is>
      </c>
      <c r="G233" s="2" t="str">
        <f>=HYPERLINK("https://www.up.pt/portal/en/feup/", "https://www.up.pt/portal/en/feup/")</f>
        <v>https://www.up.pt/portal/en/feup/</v>
      </c>
      <c r="H233" t="inlineStr">
        <is>
          <t>葡萄牙历史悠久、综合性强的大型大学，其工程学院 FEUP 在材料、计算机、电子、电气、土木、环境、能源等多工程领域实力强，与产业界联系、科研产出丰富。</t>
        </is>
      </c>
      <c r="I233" t="inlineStr">
        <is>
          <t>Ângela Matos</t>
        </is>
      </c>
      <c r="J233" t="inlineStr">
        <is>
          <t>国际办公室（合作与流动项目）负责人</t>
        </is>
      </c>
      <c r="K233"/>
      <c r="L233" s="2" t="str">
        <f>=HYPERLINK("mailto:international@reit.up.pt", "international@reit.up.pt")</f>
        <v>international@reit.up.pt</v>
      </c>
      <c r="M233"/>
      <c r="N233" s="3">
        <v>45994</v>
      </c>
      <c r="O233" t="inlineStr">
        <is>
          <t>已联系已回复</t>
        </is>
      </c>
      <c r="P233" t="inlineStr">
        <is>
          <t>把相关文件转接至工程学院</t>
        </is>
      </c>
      <c r="Q233" t="inlineStr">
        <is>
          <t>嘉兴大学-西班牙葡萄牙</t>
        </is>
      </c>
      <c r="R233"/>
      <c r="S233" t="inlineStr">
        <is>
          <t>合作方向：
1. 高端科研与产业创新代表团访问：组织中国地方政府科技部门、国家级高新区、重点实验室及龙头企业的因公出访团组，围绕 “产学研深度融合” 主题，深度考察其在国际领先的 “三明治”博士培养模式、技术转移办公室（UPTEC）运营及与葡语世界产业界的协同创新机制。
2. 前沿领域科研人员培训与联合研究：针对中国高校及研究机构的中青年科研骨干，定制在 “生物医学工程、海洋科技、数字健康、先进材料、葡萄酒科技” 等该校优势领域的短期高级研修班或访问学者项目，强化科研国际化能力。
3. 高层次人才联合培养（博士及博士后）：重点推动在国家重点需求领域设立国家公派博士研究生、联合指导博士生及博士后研究岗位，借助其强大的科研平台与国际网络，培养顶尖科技人才。
4. 参与重大国际科研基础设施与合作网络：利用其作为欧洲乃至全球多个重大科研项目（如欧洲分子生物学实验室网络、海洋观测系统等）关键节点的地位，协助中方机构接入高端国际科研合作网络，共同申请欧盟框架计划项目。
5. 特色学科领域政策与标准对话：组织中国相关部委及专业机构的因公出访团组，就 “葡萄酒产业法规与认证”、“港口与物流管理”、“文化遗产保护科技” 等该校具有全球影响力的特色领域，开展政策研讨与标准对接交流。
合作领域：
核心领域：工程学（特别是生物医学工程、土木工程、电气工程）、生命科学与医学、管理学与经济学、自然科学（物理、化学）。
特色领域：葡萄酒科学与产业、海洋科学与技术、体育科学、建筑与文化遗产。
合作特点：合作定位于 “顶尖科研驱动、产业紧密联动、特色领域引领” 。波尔图大学不仅是学术高地，更是区域创新引擎，其合作兼具学术卓越性、实践转化力及鲜明的葡萄牙文化特色。</t>
        </is>
      </c>
      <c r="T233"/>
    </row>
    <row r="234" ht="25.5" customHeight="1">
      <c r="A234" t="inlineStr">
        <is>
          <t>阿威罗大学（University of Aveiro ）</t>
        </is>
      </c>
      <c r="B234" t="inlineStr">
        <is>
          <t>葡萄牙</t>
        </is>
      </c>
      <c r="C234" t="inlineStr">
        <is>
          <t>阿威罗</t>
        </is>
      </c>
      <c r="D234" t="inlineStr">
        <is>
          <t>高校</t>
        </is>
      </c>
      <c r="E234" t="inlineStr">
        <is>
          <t>教育</t>
        </is>
      </c>
      <c r="F234" t="inlineStr">
        <is>
          <t>葡萄牙阿维罗，Santiago大学校园，邮政编码3810-193</t>
        </is>
      </c>
      <c r="G234" s="2" t="str">
        <f>=HYPERLINK("http://www.ua.pt/", "http://www.ua.pt/")</f>
        <v>http://www.ua.pt/</v>
      </c>
      <c r="H234" t="inlineStr">
        <is>
          <t>一所年轻但科研与国际化导向强的公立大学，在材料科学、电子 / 通信、计算机、工业工程、海洋科学、机器人、新材料等多个理工 /工程 /科技领域有活跃研究。</t>
        </is>
      </c>
      <c r="I234" t="inlineStr">
        <is>
          <t>Niall Power</t>
        </is>
      </c>
      <c r="J234" t="inlineStr">
        <is>
          <t>国际办公室主任</t>
        </is>
      </c>
      <c r="K234"/>
      <c r="L234" s="2" t="str">
        <f>=HYPERLINK("mailto:gri@ua.pt", "gri@ua.pt")</f>
        <v>gri@ua.pt</v>
      </c>
      <c r="M234"/>
      <c r="N234" s="3">
        <v>45994</v>
      </c>
      <c r="O234" t="inlineStr">
        <is>
          <t>已联系未回复</t>
        </is>
      </c>
      <c r="P234"/>
      <c r="Q234" t="inlineStr">
        <is>
          <t>嘉兴大学-西班牙葡萄牙</t>
        </is>
      </c>
      <c r="R234"/>
      <c r="S234"/>
      <c r="T234"/>
    </row>
    <row r="235" ht="25.5" customHeight="1">
      <c r="A235" t="inlineStr">
        <is>
          <t>米尼奥大学（University of Minho ）</t>
        </is>
      </c>
      <c r="B235" t="inlineStr">
        <is>
          <t>葡萄牙</t>
        </is>
      </c>
      <c r="C235" t="inlineStr">
        <is>
          <t>布加拉</t>
        </is>
      </c>
      <c r="D235" t="inlineStr">
        <is>
          <t>高校</t>
        </is>
      </c>
      <c r="E235" t="inlineStr">
        <is>
          <t>教育</t>
        </is>
      </c>
      <c r="F235" t="inlineStr">
        <is>
          <t>葡萄牙布拉加，大学为多校区，主要校区：Gualtar校园，邮政编码4710-057</t>
        </is>
      </c>
      <c r="G235" s="2" t="str">
        <f>=HYPERLINK("http://www.uminho.pt/", "www.uminho.pt")</f>
        <v>www.uminho.pt</v>
      </c>
      <c r="H235" t="inlineStr">
        <is>
          <t>葡萄牙公立大学，设有工程学院 (School of Engineering)，涵盖结构工程、可持续工程、环境 /资源工程 /工业工程等方向；科研与教学兼具。</t>
        </is>
      </c>
      <c r="I235" t="inlineStr">
        <is>
          <t>Natália José Gomes Antunes</t>
        </is>
      </c>
      <c r="J235" t="inlineStr">
        <is>
          <t>国际化与支持服务部（服务总监）</t>
        </is>
      </c>
      <c r="K235"/>
      <c r="L235" s="2" t="str">
        <f>=HYPERLINK("mailto:usai@usai.uminho.pt", "usai@usai.uminho.pt")</f>
        <v>usai@usai.uminho.pt</v>
      </c>
      <c r="M235" t="inlineStr">
        <is>
          <t>(+351) 253 604 505</t>
        </is>
      </c>
      <c r="N235" s="3">
        <v>45994</v>
      </c>
      <c r="O235" t="inlineStr">
        <is>
          <t>可长期合作</t>
        </is>
      </c>
      <c r="P235" t="inlineStr">
        <is>
          <t>欢迎2026年上班年去访问，并表示对于材料工程，土木工程，生物医学工程会着重与内部商讨，并探讨可能合作的形式，需要得到各学院的反馈后再次与我们联系</t>
        </is>
      </c>
      <c r="Q235" t="inlineStr">
        <is>
          <t>嘉兴大学-西班牙葡萄牙</t>
        </is>
      </c>
      <c r="R235"/>
      <c r="S235" t="inlineStr">
        <is>
          <t>合作方向：
工程学科学生交换与实习实践：接收嘉兴大学本科、硕士及博士生开展学期交换或短期访学，涵盖生物工程、土木工程、工业电子、机械工程、聚合物工程、纺织工程、信息技术、生产与系统工程、信息系统等工程学科，增强学生科研能力与国际视野。
科研与技术合作：围绕主要研究中心开展合作，包括：
生物工程：生物技术、工业与食品生物工程、环境与健康生物工程
智能微系统与医疗系统：微机电系统、医疗器械设计与建模、纳米/微加工、医用材料、医疗仪器、多物理与多功能组件设计
信息与通信技术、工业电子与系统工程：软件工程、分布式系统、网络与信息安全、工业电子、工业工程与管理、系统工程与运筹学
纤维材料与纺织工程：纳米与多功能材料、可持续工艺、产品设计与工程
土木工程：可持续建筑、智能城市、环境与水资源、交通系统、土地利用规划
机械工程与能源：能量转换、废物回收、先进工程系统、车辆结构、食品技术与健康
聚合物与复合材料：纳米材料、新型聚合物系统、聚合物及复合材料设计与技术
结构工程：历史及砌体结构、混凝土结构、钢结构与复合结构技术
院系与科研团队代表团交流：组织嘉兴大学代表团与工程学院各部门及研究团队负责人会面，开展定向交流与合作洽谈。
合作领域：
核心领域：生物工程、土木与建筑工程、机械工程、工业与系统工程、信息与通信技术、聚合物与复合材料、纤维材料与纺织工程
特色领域：智能微系统与医疗系统、软件与信息安全、可持续与智能城市研究、先进材料与能源技术
合作特点：
合作立足于“应用型工程技术研发与国际科研合作”，兼顾学术交流与科研实践。
强调跨学科研究与技术创新，注重科研成果向工业和社会服务的转化。
适合因公出访团组、学生交流及科研合作，特别适合希望学习欧洲工程学院在多学科、应用型科研与技术创新方面经验的团组。</t>
        </is>
      </c>
      <c r="T235"/>
    </row>
    <row r="236" ht="25.5" customHeight="1">
      <c r="A236" t="inlineStr">
        <is>
          <t>贝拉内里奥大学（Universidade da Beira Interior）</t>
        </is>
      </c>
      <c r="B236" t="inlineStr">
        <is>
          <t>葡萄牙</t>
        </is>
      </c>
      <c r="C236" t="inlineStr">
        <is>
          <t>科威利亚</t>
        </is>
      </c>
      <c r="D236" t="inlineStr">
        <is>
          <t>高校</t>
        </is>
      </c>
      <c r="E236" t="inlineStr">
        <is>
          <t>教育</t>
        </is>
      </c>
      <c r="F236" t="inlineStr">
        <is>
          <t>葡萄牙科维良，Marquês d’Ávila e Bolama街，邮政编码6201-001</t>
        </is>
      </c>
      <c r="G236" s="2" t="str">
        <f>=HYPERLINK("https://www.ubi.pt/", "https://www.ubi.pt/")</f>
        <v>https://www.ubi.pt/</v>
      </c>
      <c r="H236" t="inlineStr">
        <is>
          <t>UBI 是葡萄牙中部地区一所综合性公立大学，设有工科（包括航空工程、土木／结构工程、机电／电气／电子工业工程、纺织／材料工程等）、理科、健康科学、人文社会科学等多个学院。</t>
        </is>
      </c>
      <c r="I236"/>
      <c r="J236" t="inlineStr">
        <is>
          <t>副校长办公室，国际化与机构传播</t>
        </is>
      </c>
      <c r="K236"/>
      <c r="L236" s="2" t="str">
        <f>=HYPERLINK("mailto:vrici@ubi.pt", "vrici@ubi.pt")</f>
        <v>vrici@ubi.pt</v>
      </c>
      <c r="M236"/>
      <c r="N236" s="3">
        <v>45994</v>
      </c>
      <c r="O236" t="inlineStr">
        <is>
          <t>已联系已回复</t>
        </is>
      </c>
      <c r="P236" t="inlineStr">
        <is>
          <t>表示与嘉兴大学已有合作，并且一直对嘉兴大学保持欢迎状态</t>
        </is>
      </c>
      <c r="Q236" t="inlineStr">
        <is>
          <t>嘉兴大学-西班牙葡萄牙</t>
        </is>
      </c>
      <c r="R236"/>
      <c r="S236" t="inlineStr">
        <is>
          <t>合作方向：
1. 特色产业与内陆创新代表团考察：组织中国地方政府（特别是纺织业、航空航天配套产业集中地区）、科技园区及行业协会因公出访团组，重点考察该校在纺织科技、航空航天材料、复合材料、健康产业创新等领域的研发能力、技术转化及与内陆产业集群协同发展的模式。
2. 工程技术人才与科研人员高级培训：针对中国相关产业工程师、高校研究人员及科技管理人员，定制在先进纺织技术、轻量化材料、无人机系统、健康信息学等前沿领域的短期深度研修与技术培训项目。
3. 产学研联合攻关与平台共建：围绕 “科技赋能传统产业升级” 和 “内陆地区创新生态构建” 等主题，推动双方企业、高校及研究机构共建联合实验室或开展定向技术研发合作，服务中国内陆地区产业转型与价值链提升。
4. 硕士层次联合培养与科研实践：在纺织工程、材料科学、计算机科学等领域开设英语授课硕士项目或双学位项目，吸引中国学生，并配套安排在当地相关科技企业实习，培养具有国际视野的产业技术人才。
5. 参与国际学术会议与产业技术展会：共同组织或参与在纺织、材料、航空航天等领域的专业国际会议，或利用其网络协助中国企业参与葡萄牙及欧盟的相关行业展览，促进技术交流与市场对接。
合作领域：
核心领域：纺织科学与工程、材料科学与工程（特别是复合材料与航空航天材料）、计算机科学与人工智能应用、健康科学与技术。
特色领域：无人机技术、产业数字化、内陆区域创新政策研究。
合作特点：合作聚焦于 “传统优势产业的科技革新” 与 “内陆地区的知识驱动发展” 。该校以其在特定工程领域的深厚积累和面对内陆挑战的创新实践，为旨在推动特色产业集群升级和内陆创新发展的中国因公出访团组提供了高度对口的学习与合作平台。</t>
        </is>
      </c>
      <c r="T236"/>
    </row>
    <row r="237" ht="25.5" customHeight="1">
      <c r="A237" t="inlineStr">
        <is>
          <t>科英布拉高等工程学院（Instituto Superior de Engenharia de Coimbra）</t>
        </is>
      </c>
      <c r="B237" t="inlineStr">
        <is>
          <t>葡萄牙</t>
        </is>
      </c>
      <c r="C237" t="inlineStr">
        <is>
          <t>科英布拉</t>
        </is>
      </c>
      <c r="D237" t="inlineStr">
        <is>
          <t>高校</t>
        </is>
      </c>
      <c r="E237" t="inlineStr">
        <is>
          <t>教育</t>
        </is>
      </c>
      <c r="F237" t="inlineStr">
        <is>
          <t>葡萄牙科英布拉，Pedro Nunes街–Quinta da Nora，邮政编码3030-199</t>
        </is>
      </c>
      <c r="G237" s="2" t="str">
        <f>=HYPERLINK("https://www.isec.pt/", "https://www.isec.pt/")</f>
        <v>https://www.isec.pt/</v>
      </c>
      <c r="H237" t="inlineStr">
        <is>
          <t>ISEC 是葡萄牙的一所工程应用型理工学院，覆盖机械工程、电气与计算机工程、土木工程、生物医学工程、机电工程等多个工程学科，培养应用型工程人才。</t>
        </is>
      </c>
      <c r="I237" t="inlineStr">
        <is>
          <t>Ana  Mercier</t>
        </is>
      </c>
      <c r="J237" t="inlineStr">
        <is>
          <t>国际关系协调员</t>
        </is>
      </c>
      <c r="K237"/>
      <c r="L237" s="2" t="str">
        <f>=HYPERLINK("mailto:ana.mercier@isec.pt", "ana.mercier@isec.pt")</f>
        <v>ana.mercier@isec.pt</v>
      </c>
      <c r="M237"/>
      <c r="N237" s="3">
        <v>45994</v>
      </c>
      <c r="O237" t="inlineStr">
        <is>
          <t>已联系未回复</t>
        </is>
      </c>
      <c r="P237"/>
      <c r="Q237" t="inlineStr">
        <is>
          <t>嘉兴大学-西班牙葡萄牙</t>
        </is>
      </c>
      <c r="R237"/>
      <c r="S237"/>
      <c r="T237"/>
    </row>
    <row r="238" ht="25.5" customHeight="1">
      <c r="A238" t="inlineStr">
        <is>
          <t>莱里亚理工学院（Politécnico de Leiria）</t>
        </is>
      </c>
      <c r="B238" t="inlineStr">
        <is>
          <t>葡萄牙</t>
        </is>
      </c>
      <c r="C238" t="inlineStr">
        <is>
          <t>莱里亚</t>
        </is>
      </c>
      <c r="D238" t="inlineStr">
        <is>
          <t>高校</t>
        </is>
      </c>
      <c r="E238" t="inlineStr">
        <is>
          <t>教育</t>
        </is>
      </c>
      <c r="F238" t="inlineStr">
        <is>
          <t>葡萄牙莱里亚，General Norton de Matos街，邮政信箱4133，邮政编码2411-901</t>
        </is>
      </c>
      <c r="G238" s="2" t="str">
        <f>=HYPERLINK("https://www.ipleiria.pt/", "https://www.ipleiria.pt/")</f>
        <v>https://www.ipleiria.pt/</v>
      </c>
      <c r="H238" t="inlineStr">
        <is>
          <t>莱里亚理工学院是一所公立理工院校，设有多个校区，覆盖工程／科技、管理、设计、海洋技术等领域
学校注重实践与产业合作，拥有多个高科技实验室与研究中心，适合工程应用、技术研发、产‑学结合等类型合作。</t>
        </is>
      </c>
      <c r="I238"/>
      <c r="J238" t="inlineStr">
        <is>
          <t>国际流动与合作办公室</t>
        </is>
      </c>
      <c r="K238"/>
      <c r="L238" s="2" t="str">
        <f>=HYPERLINK("mailto:gmci@ipleiria.pt", "gmci@ipleiria.ptnaide.martins@ipleiria.pt")</f>
        <v>gmci@ipleiria.ptnaide.martins@ipleiria.pt</v>
      </c>
      <c r="M238" t="inlineStr">
        <is>
          <t>(+351) 244 860 448 | (+351) 244 830 010</t>
        </is>
      </c>
      <c r="N238" s="3">
        <v>45994</v>
      </c>
      <c r="O238" t="inlineStr">
        <is>
          <t>已联系未回复</t>
        </is>
      </c>
      <c r="P238"/>
      <c r="Q238" t="inlineStr">
        <is>
          <t>嘉兴大学-西班牙葡萄牙</t>
        </is>
      </c>
      <c r="R238"/>
      <c r="S238"/>
      <c r="T238"/>
    </row>
    <row r="239" ht="25.5" customHeight="1">
      <c r="A239" t="inlineStr">
        <is>
          <t>维塞乌理工学院（Politécnico de Viseu）</t>
        </is>
      </c>
      <c r="B239" t="inlineStr">
        <is>
          <t>葡萄牙</t>
        </is>
      </c>
      <c r="C239" t="inlineStr">
        <is>
          <t>维瑟乌</t>
        </is>
      </c>
      <c r="D239" t="inlineStr">
        <is>
          <t>高校</t>
        </is>
      </c>
      <c r="E239" t="inlineStr">
        <is>
          <t>教育</t>
        </is>
      </c>
      <c r="F239" t="inlineStr">
        <is>
          <t>葡萄牙维塞乌，José Maria Vale de Andrade大街，Politécnico校区，邮政编码3504-510</t>
        </is>
      </c>
      <c r="G239" s="2" t="str">
        <f>=HYPERLINK("https://www.ipv.pt/", "https://www.ipv.pt/")</f>
        <v>https://www.ipv.pt/</v>
      </c>
      <c r="H239" t="inlineStr">
        <is>
          <t>维塞乌理工学院是葡萄牙中部的一所公立理工院校，涵盖工程／技术、农业、管理、健康、教育等多个学科门类。学校具有多元应用型专业设置，对国际学生及合作项目持开放态度，适合开展应用工程、技术合作、学生／教职员流动等国际交流。</t>
        </is>
      </c>
      <c r="I239" t="inlineStr">
        <is>
          <t>Paulo Medeiros</t>
        </is>
      </c>
      <c r="J239" t="inlineStr">
        <is>
          <t>对外关系协调——沟通与设计</t>
        </is>
      </c>
      <c r="K239"/>
      <c r="L239" s="2" t="str">
        <f>=HYPERLINK("mailto:pmedeiros@sc.ipv.pt", "pmedeiros@sc.ipv.pt")</f>
        <v>pmedeiros@sc.ipv.pt</v>
      </c>
      <c r="M239"/>
      <c r="N239" s="3">
        <v>45994</v>
      </c>
      <c r="O239" t="inlineStr">
        <is>
          <t>已联系未回复</t>
        </is>
      </c>
      <c r="P239"/>
      <c r="Q239" t="inlineStr">
        <is>
          <t>嘉兴大学-西班牙葡萄牙</t>
        </is>
      </c>
      <c r="R239"/>
      <c r="S239"/>
      <c r="T239"/>
    </row>
    <row r="240" ht="25.5" customHeight="1">
      <c r="A240" t="inlineStr">
        <is>
          <t>塞图巴尔理工学院（Instituto Politécnico de Setúbal）</t>
        </is>
      </c>
      <c r="B240" t="inlineStr">
        <is>
          <t>葡萄牙</t>
        </is>
      </c>
      <c r="C240" t="inlineStr">
        <is>
          <t>塞图巴尔</t>
        </is>
      </c>
      <c r="D240" t="inlineStr">
        <is>
          <t>高校</t>
        </is>
      </c>
      <c r="E240" t="inlineStr">
        <is>
          <t>教育</t>
        </is>
      </c>
      <c r="F240" t="inlineStr">
        <is>
          <t>葡萄牙塞图巴尔，Estefanilha，IPS校区，邮政编码2910-761</t>
        </is>
      </c>
      <c r="G240" s="2" t="str">
        <f>=HYPERLINK("https://www.ips.pt/", "https://www.ips.pt/")</f>
        <v>https://www.ips.pt/</v>
      </c>
      <c r="H240" t="inlineStr">
        <is>
          <t>IPS 是一所公立 polytechnic 高校，包括多个学院 (技术、商业、健康、教育等)，提供众多工程／技术／应用型课程（如土木、电子、机械、环境、能源、生物医疗工程等）。
学校强调实践导向和与产业／企业结合，有很强的应用研究、技术转化和就业导向，适合产学研、应用型合作与国际交流。</t>
        </is>
      </c>
      <c r="I240"/>
      <c r="J240" t="inlineStr">
        <is>
          <t>国际化与流动性中心</t>
        </is>
      </c>
      <c r="K240"/>
      <c r="L240" s="2" t="str">
        <f>=HYPERLINK("mailto:cimob.dici@ips.pt", "cimob.dici@ips.pt")</f>
        <v>cimob.dici@ips.pt</v>
      </c>
      <c r="M240" t="inlineStr">
        <is>
          <t>（+351）265 790 302</t>
        </is>
      </c>
      <c r="N240" s="3">
        <v>45994</v>
      </c>
      <c r="O240" t="inlineStr">
        <is>
          <t>已联系未回复</t>
        </is>
      </c>
      <c r="P240"/>
      <c r="Q240" t="inlineStr">
        <is>
          <t>嘉兴大学-西班牙葡萄牙</t>
        </is>
      </c>
      <c r="R240"/>
      <c r="S240"/>
      <c r="T240"/>
    </row>
    <row r="241" ht="25.5" customHeight="1">
      <c r="A241" t="inlineStr">
        <is>
          <t>波尔图理工学院（Instituto Politécnico do Porto）</t>
        </is>
      </c>
      <c r="B241" t="inlineStr">
        <is>
          <t>葡萄牙</t>
        </is>
      </c>
      <c r="C241" t="inlineStr">
        <is>
          <t>波尔图</t>
        </is>
      </c>
      <c r="D241" t="inlineStr">
        <is>
          <t>高校</t>
        </is>
      </c>
      <c r="E241" t="inlineStr">
        <is>
          <t>教育</t>
        </is>
      </c>
      <c r="F241" t="inlineStr">
        <is>
          <t>葡萄牙波尔图，Picoto-Campanhã街，邮政编码4300-316</t>
        </is>
      </c>
      <c r="G241" s="2" t="str">
        <f>=HYPERLINK("https://www.ipp.pt/", "https://www.ipp.pt")</f>
        <v>https://www.ipp.pt</v>
      </c>
      <c r="H241" t="inlineStr">
        <is>
          <t>葡萄牙北部最大规模理工学院之一。设有多个工程／技术／应用学科，且国际办公室体系健全，适合开展国际合作与交流。</t>
        </is>
      </c>
      <c r="I241"/>
      <c r="J241" t="inlineStr">
        <is>
          <t>合作与国际关系办公室</t>
        </is>
      </c>
      <c r="K241"/>
      <c r="L241" s="2" t="str">
        <f>=HYPERLINK("mailto:gcri@sc.ipp.pt", "gcri@sc.ipp.pt")</f>
        <v>gcri@sc.ipp.pt</v>
      </c>
      <c r="M241"/>
      <c r="N241" s="3">
        <v>45994</v>
      </c>
      <c r="O241" t="inlineStr">
        <is>
          <t>已联系未回复</t>
        </is>
      </c>
      <c r="P241"/>
      <c r="Q241" t="inlineStr">
        <is>
          <t>嘉兴大学-西班牙葡萄牙</t>
        </is>
      </c>
      <c r="R241"/>
      <c r="S241"/>
      <c r="T241"/>
    </row>
    <row r="242" ht="25.5" customHeight="1">
      <c r="A242" t="inlineStr">
        <is>
          <t>布拉干萨理工学院（Instituto Politécnico de Bragança）</t>
        </is>
      </c>
      <c r="B242" t="inlineStr">
        <is>
          <t>葡萄牙</t>
        </is>
      </c>
      <c r="C242" t="inlineStr">
        <is>
          <t>布拉干萨</t>
        </is>
      </c>
      <c r="D242" t="inlineStr">
        <is>
          <t>高校</t>
        </is>
      </c>
      <c r="E242" t="inlineStr">
        <is>
          <t>教育</t>
        </is>
      </c>
      <c r="F242" t="inlineStr">
        <is>
          <t>葡萄牙布拉干萨，Santa Apolónia校园，邮政编码5301-857</t>
        </is>
      </c>
      <c r="G242" s="2" t="str">
        <f>=HYPERLINK("https://www.ipb.pt/", "https://www.ipb.pt")</f>
        <v>https://www.ipb.pt</v>
      </c>
      <c r="H242" t="inlineStr">
        <is>
          <t>地处东北边远地区，但国际化程度高，是与中国高校有过合作历史的 polytechnic。工科与应用技术较全面，适合教学、交换与应用研究合作。</t>
        </is>
      </c>
      <c r="I242" t="inlineStr">
        <is>
          <t>Raquel Rodrigues</t>
        </is>
      </c>
      <c r="J242" t="inlineStr">
        <is>
          <t>合作关系和其他关键行动负责人</t>
        </is>
      </c>
      <c r="K242"/>
      <c r="L242" s="2" t="str">
        <f>=HYPERLINK("mailto:anaraquel@ipb.pt", "anaraquel@ipb.pt")</f>
        <v>anaraquel@ipb.pt</v>
      </c>
      <c r="M242"/>
      <c r="N242" s="3">
        <v>45994</v>
      </c>
      <c r="O242" t="inlineStr">
        <is>
          <t>可长期合作</t>
        </is>
      </c>
      <c r="P242" t="inlineStr">
        <is>
          <t>告知邮件需要发送给副校长Luís Pais: pais@ipb.pt-回复了具体的合作方向</t>
        </is>
      </c>
      <c r="Q242" t="inlineStr">
        <is>
          <t>嘉兴大学-西班牙葡萄牙</t>
        </is>
      </c>
      <c r="R242"/>
      <c r="S242" t="inlineStr">
        <is>
          <t>合作方向：
学术交流与学生国际流动：接收嘉兴大学本科和硕士生进行国际交换（一个学期或一学年），重点面向全英语授课项目，提升学生国际化视野与学术能力。
博士生及博士后科研流动：围绕 IPB 六个研发中心（CIMO、CeDRI、GICoS、UNIAG、CITED、LiveWell）开展博士生与博士后科研交流与合作，涉及山地研究、数字化与智能机器人、可持续建筑、应用管理、教育发展及健康与幸福生活研究等方向。
学术与科研代表团交流：接待嘉兴大学代表团访问 IPB，开展考察交流，增进双方在学科建设、科研合作与国际化发展上的经验分享与合作洽谈。
合作领域：
核心领域：山地研究、数字化与智能机器人、可持续建筑、应用管理、教育发展、健康与幸福生活。
特色领域：跨学科研究、国际化教学与学术交流、博士后科研流动。
合作特点：
合作立足于“学术与科研双向国际化”，强调应用型研究与实践导向。
适合因公出访团组、博士及硕士学生的交流、学科建设与科研合作项目。
强调区域发展、应用技术和国际化视野相结合，兼顾学术研究和人才培养。</t>
        </is>
      </c>
      <c r="T242"/>
    </row>
    <row r="243" ht="25.5" customHeight="1">
      <c r="A243" t="inlineStr">
        <is>
          <t>新里斯本大学（Universidade Nova de Lisboa）</t>
        </is>
      </c>
      <c r="B243" t="inlineStr">
        <is>
          <t>葡萄牙</t>
        </is>
      </c>
      <c r="C243" t="inlineStr">
        <is>
          <t>里斯本</t>
        </is>
      </c>
      <c r="D243" t="inlineStr">
        <is>
          <t>高校</t>
        </is>
      </c>
      <c r="E243" t="inlineStr">
        <is>
          <t>教育</t>
        </is>
      </c>
      <c r="F243" t="inlineStr">
        <is>
          <t>葡萄牙卡帕里卡，Caparica校园，2825-149，/里斯本NOVA大学，邮政编码2829-516</t>
        </is>
      </c>
      <c r="G243" s="2" t="str">
        <f>=HYPERLINK("https://www.fct.unl.pt/", "https://www.fct.unl.pt")</f>
        <v>https://www.fct.unl.pt</v>
      </c>
      <c r="H243" t="inlineStr">
        <is>
          <t>葡萄牙里斯本地区顶尖理工科系之一，在材料科学、环境、信息技术、生物工程等方向有较强科研与国际合作经验。</t>
        </is>
      </c>
      <c r="I243"/>
      <c r="J243" t="inlineStr">
        <is>
          <t>国际学生流动与
教学国际化处</t>
        </is>
      </c>
      <c r="K243"/>
      <c r="L243" s="2" t="str">
        <f>=HYPERLINK("mailto:int.students@fct.unl.pt", "int.students@fct.unl.pt")</f>
        <v>int.students@fct.unl.pt</v>
      </c>
      <c r="M243"/>
      <c r="N243" s="3">
        <v>45994</v>
      </c>
      <c r="O243" t="inlineStr">
        <is>
          <t>已联系已回复</t>
        </is>
      </c>
      <c r="P243" t="inlineStr">
        <is>
          <t>表示很感兴趣，并且想讨论材料科学相关领域，并表示让我们定下讨论的主题和时间后及时的联系他们，他们期待我们的到来</t>
        </is>
      </c>
      <c r="Q243" t="inlineStr">
        <is>
          <t>嘉兴大学-西班牙葡萄牙</t>
        </is>
      </c>
      <c r="R243"/>
      <c r="S243" t="inlineStr">
        <is>
          <t>合作方向：
1. 政府及公共部门代表团学术与政策交流：组织中国地方政府、发改委、卫健委、司法系统等因公出访团组，与该校在公共政策、卫生治理、法律比较、经济模型等领域开展高端学术对话与治理经验交流。
2. 公共管理及专业人员高级研修：针对中国政府部门及事业单位的管理人员、专业技术人员，设计围绕欧盟政策、公共卫生管理、知识产权法、创新经济等主题的短期定制化培训课程。
3. 硕士及博士生联合培养（公共管理方向）：探索设立面向公共部门人才的硕士或博士联合培养项目，聚焦公共政策、国际关系、健康经济学等方向，服务于中国公务员及事业单位人员的学历与能力提升。
4. 合作研究与国际项目申请：联合申请欧盟“地平线欧洲”等国际科研计划，在可持续发展、数字治理、老龄化社会等全球性议题上开展合作研究，产出具有政策影响力的报告。
5. 葡语国家研究与区域合作论坛：利用其位于葡语圈核心的区位优势，共同举办或参与聚焦中国与葡语国家经贸、法律、文化合作的论坛，服务中国对葡语国家的公共外交与经贸合作战略。
合作领域：
核心领域：经济学与公共政策、法律与司法研究、医学与公共卫生管理、社会科学与数字治理。
特色领域：葡语国家研究、文化遗产管理、创新与创业政策。
合作特点：合作具有 “强烈的公共政策导向、葡语圈门户优势及现代学科交叉性” ，非常适合因公出访团组进行高层次、专业化、对标国际先进经验的深度交流与能力建设。</t>
        </is>
      </c>
      <c r="T243"/>
    </row>
    <row r="244" ht="25.5" customHeight="1">
      <c r="A244" t="inlineStr">
        <is>
          <t>科英布拉大学（Universidade de Coimbra）</t>
        </is>
      </c>
      <c r="B244" t="inlineStr">
        <is>
          <t>葡萄牙</t>
        </is>
      </c>
      <c r="C244" t="inlineStr">
        <is>
          <t>科英布拉</t>
        </is>
      </c>
      <c r="D244" t="inlineStr">
        <is>
          <t>高校</t>
        </is>
      </c>
      <c r="E244" t="inlineStr">
        <is>
          <t>教育</t>
        </is>
      </c>
      <c r="F244" t="inlineStr">
        <is>
          <t>葡萄牙科英布拉，Portagem广场，邮政编码3004-517</t>
        </is>
      </c>
      <c r="G244" s="2" t="str">
        <f>=HYPERLINK("https://www.uc.pt/", "https://www.uc.pt/")</f>
        <v>https://www.uc.pt/</v>
      </c>
      <c r="H244" t="inlineStr">
        <is>
          <t>历史悠久的大学理工学院，传统与现代工科并存，科研、教学与国际合作基础扎实，适合学术研究 +国际合作 +学生/教师交流。</t>
        </is>
      </c>
      <c r="I244" t="inlineStr">
        <is>
          <t>Silvia Silva Dias</t>
        </is>
      </c>
      <c r="J244" t="inlineStr">
        <is>
          <t>国际关系处处长</t>
        </is>
      </c>
      <c r="K244"/>
      <c r="L244" s="2" t="str">
        <f>=HYPERLINK("mailto:dri@uc.pt", "dri@uc.pt")</f>
        <v>dri@uc.pt</v>
      </c>
      <c r="M244"/>
      <c r="N244" s="3">
        <v>45994</v>
      </c>
      <c r="O244" t="inlineStr">
        <is>
          <t>已联系未回复</t>
        </is>
      </c>
      <c r="P244"/>
      <c r="Q244" t="inlineStr">
        <is>
          <t>嘉兴大学-西班牙葡萄牙</t>
        </is>
      </c>
      <c r="R244"/>
      <c r="S244"/>
      <c r="T244"/>
    </row>
    <row r="245" ht="25.5" customHeight="1">
      <c r="A245" t="inlineStr">
        <is>
          <t>阿尔加维大学（Universidade do Algarve）</t>
        </is>
      </c>
      <c r="B245" t="inlineStr">
        <is>
          <t>葡萄牙</t>
        </is>
      </c>
      <c r="C245" t="inlineStr">
        <is>
          <t>法罗</t>
        </is>
      </c>
      <c r="D245" t="inlineStr">
        <is>
          <t>高校</t>
        </is>
      </c>
      <c r="E245" t="inlineStr">
        <is>
          <t>教育</t>
        </is>
      </c>
      <c r="F245" t="inlineStr">
        <is>
          <t>葡萄牙法鲁，Penha校园，邮政编码8005-139</t>
        </is>
      </c>
      <c r="G245" s="2" t="str">
        <f>=HYPERLINK("https://www.ualg.pt/en/", "https://www.ualg.pt/en/")</f>
        <v>https://www.ualg.pt/en/</v>
      </c>
      <c r="H245" t="inlineStr">
        <is>
          <t>位于葡萄牙南部 Algarve 地区，是一所以海洋、旅游、环境、工程与跨学科著称的综合性公立大学。国际化程度高，每年有大量国际学生，非常重视国际合作与研究。</t>
        </is>
      </c>
      <c r="I245"/>
      <c r="J245" t="inlineStr">
        <is>
          <t>国际关系与流动办公室</t>
        </is>
      </c>
      <c r="K245"/>
      <c r="L245" s="2" t="str">
        <f>=HYPERLINK("mailto:international@ualg.pt", "international@ualg.pt")</f>
        <v>international@ualg.pt</v>
      </c>
      <c r="M245" t="inlineStr">
        <is>
          <t>（351 ）289 800 003</t>
        </is>
      </c>
      <c r="N245" s="3">
        <v>45994</v>
      </c>
      <c r="O245" t="inlineStr">
        <is>
          <t>已联系未回复</t>
        </is>
      </c>
      <c r="P245"/>
      <c r="Q245" t="inlineStr">
        <is>
          <t>嘉兴大学-西班牙葡萄牙</t>
        </is>
      </c>
      <c r="R245"/>
      <c r="S245"/>
      <c r="T245"/>
    </row>
    <row r="246" ht="25.5" customHeight="1">
      <c r="A246" t="inlineStr">
        <is>
          <t>埃武拉大学（Universidade de Évora）</t>
        </is>
      </c>
      <c r="B246" t="inlineStr">
        <is>
          <t>葡萄牙</t>
        </is>
      </c>
      <c r="C246" t="inlineStr">
        <is>
          <t>埃武拉</t>
        </is>
      </c>
      <c r="D246" t="inlineStr">
        <is>
          <t>高校</t>
        </is>
      </c>
      <c r="E246" t="inlineStr">
        <is>
          <t>教育</t>
        </is>
      </c>
      <c r="F246" t="inlineStr">
        <is>
          <t>葡萄牙埃武拉，Colegiais广场2号，邮政编码7004-516</t>
        </is>
      </c>
      <c r="G246" s="2" t="str">
        <f>=HYPERLINK("https://www.uevora.pt/en/", "https://www.uevora.pt/en/")</f>
        <v>https://www.uevora.pt/en/</v>
      </c>
      <c r="H246" t="inlineStr">
        <is>
          <t>创立于 1559 年，是葡萄牙历史悠久的大学之一，兼具传统与现代学科。涵盖人文、社会科学、环境、理科等多个领域，适合跨学科研究与文化/社会类合作。</t>
        </is>
      </c>
      <c r="I246"/>
      <c r="J246" t="inlineStr">
        <is>
          <t>国际合作 /流动办公室</t>
        </is>
      </c>
      <c r="K246"/>
      <c r="L246" s="2" t="str">
        <f>=HYPERLINK("mailto:dmri@uevora.pt", "dmri@uevora.pt")</f>
        <v>dmri@uevora.pt</v>
      </c>
      <c r="M246"/>
      <c r="N246" s="3">
        <v>45994</v>
      </c>
      <c r="O246" t="inlineStr">
        <is>
          <t>已联系未回复</t>
        </is>
      </c>
      <c r="P246"/>
      <c r="Q246" t="inlineStr">
        <is>
          <t>嘉兴大学-西班牙葡萄牙</t>
        </is>
      </c>
      <c r="R246"/>
      <c r="S246"/>
      <c r="T246"/>
    </row>
    <row r="247" ht="25.5" customHeight="1">
      <c r="A247" t="inlineStr">
        <is>
          <t>特拉斯‑奥斯‑蒙特斯与高杜罗大学（Universidade de Trás‑os‑Montes e Alto Douro ）</t>
        </is>
      </c>
      <c r="B247" t="inlineStr">
        <is>
          <t>葡萄牙</t>
        </is>
      </c>
      <c r="C247" t="inlineStr">
        <is>
          <t>维拉雷亚尔</t>
        </is>
      </c>
      <c r="D247" t="inlineStr">
        <is>
          <t>高校</t>
        </is>
      </c>
      <c r="E247" t="inlineStr">
        <is>
          <t>教育</t>
        </is>
      </c>
      <c r="F247" t="inlineStr">
        <is>
          <t>葡萄牙维拉雷亚尔，Quinta de Prados，邮政编码5001-911</t>
        </is>
      </c>
      <c r="G247" s="2" t="str">
        <f>=HYPERLINK("https://www.utad.pt/en/", "https://www.utad.pt/en/")</f>
        <v>https://www.utad.pt/en/</v>
      </c>
      <c r="H247" t="inlineStr">
        <is>
          <t>位于葡萄牙北部 Vila Real，是一所公立综合大学，学科覆盖农业、兽医、环境、科技等。学校既有传统学术教育，也注重应用与地区发展。</t>
        </is>
      </c>
      <c r="I247"/>
      <c r="J247" t="inlineStr">
        <is>
          <t>国际办公室</t>
        </is>
      </c>
      <c r="K247"/>
      <c r="L247" s="2" t="str">
        <f>=HYPERLINK("mailto:international@utad.pt", "international@utad.pt")</f>
        <v>international@utad.pt</v>
      </c>
      <c r="M247"/>
      <c r="N247" s="3">
        <v>45994</v>
      </c>
      <c r="O247" t="inlineStr">
        <is>
          <t>已联系未回复</t>
        </is>
      </c>
      <c r="P247"/>
      <c r="Q247" t="inlineStr">
        <is>
          <t>嘉兴大学-西班牙葡萄牙</t>
        </is>
      </c>
      <c r="R247"/>
      <c r="S247"/>
      <c r="T247"/>
    </row>
    <row r="248" ht="25.5" customHeight="1">
      <c r="A248" t="inlineStr">
        <is>
          <t>瓜达理工学院（Instituto Politécnico da Guarda）</t>
        </is>
      </c>
      <c r="B248" t="inlineStr">
        <is>
          <t>葡萄牙</t>
        </is>
      </c>
      <c r="C248" t="inlineStr">
        <is>
          <t>瓜尔达</t>
        </is>
      </c>
      <c r="D248" t="inlineStr">
        <is>
          <t>高校</t>
        </is>
      </c>
      <c r="E248" t="inlineStr">
        <is>
          <t>教育</t>
        </is>
      </c>
      <c r="F248" t="inlineStr">
        <is>
          <t>葡萄牙瓜尔达，Francisco Sá Carneiro大道50号，邮政编码6300-559</t>
        </is>
      </c>
      <c r="G248" s="2" t="str">
        <f>=HYPERLINK("https://www.ipg.pt/", "https://www.ipg.pt/")</f>
        <v>https://www.ipg.pt/</v>
      </c>
      <c r="H248" t="inlineStr">
        <is>
          <t>葡萄牙公立理工学院系统成员，提供应用科学、工程、教育、管理等职业／技术导向课程，适合职业教育、应用研究与技能培训合作。</t>
        </is>
      </c>
      <c r="I248"/>
      <c r="J248" t="inlineStr">
        <is>
          <t>流动性与合作办公室</t>
        </is>
      </c>
      <c r="K248"/>
      <c r="L248" s="2" t="str">
        <f>=HYPERLINK("mailto:gmc@ipg.pt", "gmc@ipg.pt")</f>
        <v>gmc@ipg.pt</v>
      </c>
      <c r="M248"/>
      <c r="N248" s="3">
        <v>45994</v>
      </c>
      <c r="O248" t="inlineStr">
        <is>
          <t>已联系未回复</t>
        </is>
      </c>
      <c r="P248"/>
      <c r="Q248" t="inlineStr">
        <is>
          <t>嘉兴大学-西班牙葡萄牙</t>
        </is>
      </c>
      <c r="R248"/>
      <c r="S248"/>
      <c r="T248"/>
    </row>
    <row r="249" ht="25.5" customHeight="1">
      <c r="A249" t="inlineStr">
        <is>
          <t>卡斯特洛布朗库理工学院（Instituto Politécnico de Castelo Branco ）</t>
        </is>
      </c>
      <c r="B249" t="inlineStr">
        <is>
          <t>葡萄牙</t>
        </is>
      </c>
      <c r="C249" t="inlineStr">
        <is>
          <t>布兰克城堡</t>
        </is>
      </c>
      <c r="D249" t="inlineStr">
        <is>
          <t>高校</t>
        </is>
      </c>
      <c r="E249" t="inlineStr">
        <is>
          <t>教育</t>
        </is>
      </c>
      <c r="F249" t="inlineStr">
        <is>
          <t>葡萄牙卡斯特洛白伦，Pedro Álvares Cabral大道12号，邮政编码6000-084</t>
        </is>
      </c>
      <c r="G249" s="2" t="str">
        <f>=HYPERLINK("http://www.ipcb.pt/", "http://www.ipcb.pt/")</f>
        <v>http://www.ipcb.pt/</v>
      </c>
      <c r="H249" t="inlineStr">
        <is>
          <t>公立理工学院，设农业、应用艺术、技术、健康等多个学院。兼具应用、设计和职业导向，适合工程 / 设计 /产业转化 /应用研究合作。</t>
        </is>
      </c>
      <c r="I249" t="inlineStr">
        <is>
          <t xml:space="preserve">Dr. Rogério Dionísio </t>
        </is>
      </c>
      <c r="J249" t="inlineStr">
        <is>
          <t>高等技术学院负责学校国际流动性（RMI）的人员</t>
        </is>
      </c>
      <c r="K249"/>
      <c r="L249" s="2" t="str">
        <f>=HYPERLINK("mailto:incoming@ipcb.pt", "incoming@ipcb.pt")</f>
        <v>incoming@ipcb.pt</v>
      </c>
      <c r="M249"/>
      <c r="N249" s="3">
        <v>45994</v>
      </c>
      <c r="O249" t="inlineStr">
        <is>
          <t>已联系未回复</t>
        </is>
      </c>
      <c r="P249"/>
      <c r="Q249" t="inlineStr">
        <is>
          <t>嘉兴大学-西班牙葡萄牙</t>
        </is>
      </c>
      <c r="R249"/>
      <c r="S249"/>
      <c r="T249"/>
    </row>
    <row r="250" ht="25.5" customHeight="1">
      <c r="A250" t="inlineStr">
        <is>
          <t>巴塞罗那大学（Universitat de Barcelona ）</t>
        </is>
      </c>
      <c r="B250" t="inlineStr">
        <is>
          <t>西班牙</t>
        </is>
      </c>
      <c r="C250" t="inlineStr">
        <is>
          <t>巴塞罗那</t>
        </is>
      </c>
      <c r="D250" t="inlineStr">
        <is>
          <t>高校</t>
        </is>
      </c>
      <c r="E250" t="inlineStr">
        <is>
          <t>教育</t>
        </is>
      </c>
      <c r="F250" t="inlineStr">
        <is>
          <t>西班牙巴塞罗那，Gran Via de les Corts Catalanes大街585号，邮政编码08007</t>
        </is>
      </c>
      <c r="G250" s="2" t="str">
        <f>=HYPERLINK("https://www.ub.edu/", "https://www.ub.edu/")</f>
        <v>https://www.ub.edu/</v>
      </c>
      <c r="H250" t="inlineStr">
        <is>
          <t>巴塞罗那大学是西班牙最大的公立研究型大学之一，院系齐全、在社会科学与自然科学等多领域都有长期研究积累。学校在巴塞罗那市中心与多个校区设有教学与研究单位</t>
        </is>
      </c>
      <c r="I250"/>
      <c r="J250" t="inlineStr">
        <is>
          <t>机构沟通邮箱</t>
        </is>
      </c>
      <c r="K250"/>
      <c r="L250" s="2" t="str">
        <f>=HYPERLINK("mailto:premsa@ub.edu", "premsa@ub.edu")</f>
        <v>premsa@ub.edu</v>
      </c>
      <c r="M250"/>
      <c r="N250" s="3">
        <v>46000</v>
      </c>
      <c r="O250" t="inlineStr">
        <is>
          <t>已联系未回复</t>
        </is>
      </c>
      <c r="P250"/>
      <c r="Q250" t="inlineStr">
        <is>
          <t>嘉兴大学-西班牙葡萄牙</t>
        </is>
      </c>
      <c r="R250"/>
      <c r="S250"/>
      <c r="T250"/>
    </row>
    <row r="251" ht="25.5" customHeight="1">
      <c r="A251" t="inlineStr">
        <is>
          <t>巴塞罗那自治大学（Universitat Autònoma de Barcelona）</t>
        </is>
      </c>
      <c r="B251" t="inlineStr">
        <is>
          <t>西班牙</t>
        </is>
      </c>
      <c r="C251" t="inlineStr">
        <is>
          <t>巴塞罗那</t>
        </is>
      </c>
      <c r="D251" t="inlineStr">
        <is>
          <t>高校</t>
        </is>
      </c>
      <c r="E251" t="inlineStr">
        <is>
          <t>教育</t>
        </is>
      </c>
      <c r="F251" t="inlineStr">
        <is>
          <t>西班牙巴塞罗那，Vall Moronta街，UAB校园，08193 Bellaterra（Cerdanyola del Vallès）</t>
        </is>
      </c>
      <c r="G251" s="2" t="str">
        <f>=HYPERLINK("https://www.uab.cat/", "https://www.uab.cat/")</f>
        <v>https://www.uab.cat/</v>
      </c>
      <c r="H251" t="inlineStr">
        <is>
          <t>巴塞罗那自治大学是一所以研究见长的综合大学，校园位于贝拉特拉（Bellaterra）并以生物科学、工程与社会科学研究闻名。学校在国际交流与中国项目（例如 EU-China 专业方向）上有长期项目经验</t>
        </is>
      </c>
      <c r="I251"/>
      <c r="J251" t="inlineStr">
        <is>
          <t>国际事务部门</t>
        </is>
      </c>
      <c r="K251"/>
      <c r="L251" s="2" t="str">
        <f>=HYPERLINK("http://internacional.pr", "internacional.pr@uab.cat")</f>
        <v>internacional.pr@uab.cat</v>
      </c>
      <c r="M251"/>
      <c r="N251" s="3">
        <v>46000</v>
      </c>
      <c r="O251" t="inlineStr">
        <is>
          <t>已联系已回复</t>
        </is>
      </c>
      <c r="P251" t="inlineStr">
        <is>
          <t>质疑我们的身份，需要证实这一点，并写填写访问表格寄回</t>
        </is>
      </c>
      <c r="Q251" t="inlineStr">
        <is>
          <t>嘉兴大学-西班牙葡萄牙</t>
        </is>
      </c>
      <c r="R251"/>
      <c r="S251" t="inlineStr">
        <is>
          <t>合作方向：
1. 高水平学术科研合作与学者互访：在双方优势学科（如生命科学、兽医学、社会科学等）建立联合研究中心或课题组，支持研究人员长期互访及开展实质性合作研究项目。
2. 硕士及博士生联合培养：开设双学位或联合指导项目，特别是在其全球排名领先的领域，吸引优秀中国学生，并促进高层次人才培养的国际化。
3. 国际学期交换与短期学分项目：扩大本科及硕士层次的学期/学年交换生规模，并开发面向中国学生的英语授课暑期学校或主题学分课程。
4. 社会科学与人文领域专题研究及公共政策对话：围绕全球化、移民研究、公共治理、文化遗产等议题，合作举办高端论坛、开展比较研究，并为政府部门提供智库支持。
5. 西班牙语师资培训与语言文化推广：依托其语言中心及西班牙语研究实力，为中国高校的西班牙语专业教师提供教学方法培训，并合作开发面向中国学习者的优质语言文化资源。
合作领域：
核心领域：生命科学与医学、兽医学、社会科学（政治学、社会学）、语言学与翻译研究。
特色领域：环境科学、旅游与酒店管理、教育学、文化遗产管理。
合作特点：合作突出 “研究驱动、学科顶尖、人文社科见长” ，既涵盖自然科学的前沿探索，也注重社会科学对现实问题的深度回应。UAB在学术严谨性和国际发表方面声誉卓著，适合追求高质量学术产出的合作。</t>
        </is>
      </c>
      <c r="T251"/>
    </row>
    <row r="252" ht="25.5" customHeight="1">
      <c r="A252" t="inlineStr">
        <is>
          <t>加泰罗尼亚理工大学（巴塞罗那理工）（Universitat Politècnica de Catalunya · BarcelonaTech ）</t>
        </is>
      </c>
      <c r="B252" t="inlineStr">
        <is>
          <t>西班牙</t>
        </is>
      </c>
      <c r="C252" t="inlineStr">
        <is>
          <t>巴塞罗那</t>
        </is>
      </c>
      <c r="D252" t="inlineStr">
        <is>
          <t>高校</t>
        </is>
      </c>
      <c r="E252" t="inlineStr">
        <is>
          <t>教育</t>
        </is>
      </c>
      <c r="F252" t="inlineStr">
        <is>
          <t>西班牙巴塞罗那，Diagonal Nord校园，VX大楼（Vèrtex），Eusebi Güell广场6号，邮政编码08034</t>
        </is>
      </c>
      <c r="G252" s="2" t="str">
        <f>=HYPERLINK("https://www.upc.edu/", "https://www.upc.edu/")</f>
        <v>https://www.upc.edu/</v>
      </c>
      <c r="H252" t="inlineStr">
        <is>
          <t>UPC是以工程、建筑与科技为主的技术型大学，在工程技术、能源与智慧城市等领域实力强。UPC有明确的对华合作与项目（如与同济等中国高校的联合活动）</t>
        </is>
      </c>
      <c r="I252" t="inlineStr">
        <is>
          <t>CLARA MUNTANYOLA I PROS</t>
        </is>
      </c>
      <c r="J252" t="inlineStr">
        <is>
          <t>国际关系办公室技术、管理和行政人员及服务</t>
        </is>
      </c>
      <c r="K252"/>
      <c r="L252" s="2" t="str">
        <f>=HYPERLINK("mailto:clara.muntanyola@upc.edu", "clara.muntanyola@upc.edu")</f>
        <v>clara.muntanyola@upc.edu</v>
      </c>
      <c r="M252" t="inlineStr">
        <is>
          <t>+34 93 401 1076</t>
        </is>
      </c>
      <c r="N252" s="3">
        <v>46000</v>
      </c>
      <c r="O252" t="inlineStr">
        <is>
          <t>已联系已回复</t>
        </is>
      </c>
      <c r="P252" t="inlineStr">
        <is>
          <t>表示很遗憾，明年上半年时间都排满了</t>
        </is>
      </c>
      <c r="Q252" t="inlineStr">
        <is>
          <t>嘉兴大学-西班牙葡萄牙</t>
        </is>
      </c>
      <c r="R252"/>
      <c r="S252" t="inlineStr">
        <is>
          <t>合作方向：
1. 高水平工程与科研人员短期培训：组织中国高校工科教师、企业研发人员及工程专业研究生赴UPC，参加其在尖端工程领域（如航空航天、电信、能源）的定制化短期课程与实验室研修。
2. 联合科研与博士生共同培养：在双方优势学科（如信息通信技术、高级制造、土木工程、建筑技术）建立联合实验室或研究小组，并配套实施双导师制的博士生联合培养计划。
3. 工程教育认证与课程体系对标：深入探讨及引进其符合欧洲工程教育认证体系（如EUR-ACE）的课程设计、教学质量保障模式，助力中国合作院校的工程教育国际化与认证。
4. 产学研合作与技术转移对接：利用UPC强大的产业联系网（尤其与加泰罗尼亚地区高科技企业的合作），为中国地方政府、高新区及企业搭建技术难题攻关、成果转化及初创企业孵化的对接平台。
5. 参与国际顶级学生科技竞赛与创新项目：组织或推荐中国学生团队参与UPC主办或深度参与的全球性工程、建筑或设计竞赛，或开展联合学生创新项目。
合作领域：
核心领域：信息与通信技术（ICT）、航空航天工程、土木工程与建筑技术、能源与电力工程。
特色领域：人工智能与数据科学、先进材料与纳米技术、海洋工程、智慧城市与建筑信息模型（BIM）。
合作特点：合作立足于 “顶尖工程科技的创新、教育与转化” ，具有极强的专业性、前沿性和产业关联性。UPC以其在应用研究和解决复杂工程问题方面的卓越声誉，为合作提供高水准的学术与技术保障。</t>
        </is>
      </c>
      <c r="T252"/>
    </row>
    <row r="253" ht="25.5" customHeight="1">
      <c r="A253" t="inlineStr">
        <is>
          <t>马德里理工大学（Universidad Politécnica de Madrid）</t>
        </is>
      </c>
      <c r="B253" t="inlineStr">
        <is>
          <t>西班牙</t>
        </is>
      </c>
      <c r="C253" t="inlineStr">
        <is>
          <t>马德里</t>
        </is>
      </c>
      <c r="D253" t="inlineStr">
        <is>
          <t>高校</t>
        </is>
      </c>
      <c r="E253" t="inlineStr">
        <is>
          <t>教育</t>
        </is>
      </c>
      <c r="F253" t="inlineStr">
        <is>
          <t>西班牙马德里，Ramiro de Maeztu街7号，邮政编码28040</t>
        </is>
      </c>
      <c r="G253" s="2" t="str">
        <f>=HYPERLINK("https://www.upm.es/", "https://www.upm.es/")</f>
        <v>https://www.upm.es/</v>
      </c>
      <c r="H253" t="inlineStr">
        <is>
          <t>马德里理工大学是西班牙工科类领军高校，涵盖多个工程院系并拥有强大的科研与产学研转移能力。UPM在机械、材料、能源与智慧制造等领域影响力显著。</t>
        </is>
      </c>
      <c r="I253"/>
      <c r="J253" t="inlineStr">
        <is>
          <t>国际办公室</t>
        </is>
      </c>
      <c r="K253"/>
      <c r="L253" s="2" t="str">
        <f>=HYPERLINK("http://subdirector.externas.topografia @upm.es", "subdirector.externas.topografia @upm.es")</f>
        <v>subdirector.externas.topografia @upm.es</v>
      </c>
      <c r="M253"/>
      <c r="N253" s="3">
        <v>46000</v>
      </c>
      <c r="O253" t="inlineStr">
        <is>
          <t>已联系未回复</t>
        </is>
      </c>
      <c r="P253"/>
      <c r="Q253" t="inlineStr">
        <is>
          <t>嘉兴大学-西班牙葡萄牙</t>
        </is>
      </c>
      <c r="R253"/>
      <c r="S253"/>
      <c r="T253"/>
    </row>
    <row r="254" ht="25.5" customHeight="1">
      <c r="A254" t="inlineStr">
        <is>
          <t>马德里康普顿斯大学（Universidad Complutense de Madrid）</t>
        </is>
      </c>
      <c r="B254" t="inlineStr">
        <is>
          <t>西班牙</t>
        </is>
      </c>
      <c r="C254" t="inlineStr">
        <is>
          <t>马德里</t>
        </is>
      </c>
      <c r="D254" t="inlineStr">
        <is>
          <t>高校</t>
        </is>
      </c>
      <c r="E254" t="inlineStr">
        <is>
          <t>教育</t>
        </is>
      </c>
      <c r="F254" t="inlineStr">
        <is>
          <t>西班牙马德里，Complutense大学各校区</t>
        </is>
      </c>
      <c r="G254" s="2" t="str">
        <f>=HYPERLINK("https://www.ucm.es/", "https://www.ucm.es/")</f>
        <v>https://www.ucm.es/</v>
      </c>
      <c r="H254" t="inlineStr">
        <is>
          <t>马德里康普顿斯大学是西班牙最古老、规模最大的公立大学之一，文理医学与社会科学学科齐全。学校国际化程度高，设有专门负责双边协议的国际处</t>
        </is>
      </c>
      <c r="I254" t="inlineStr">
        <is>
          <t>María del Rosario Cristóbal Roncero</t>
        </is>
      </c>
      <c r="J254" t="inlineStr">
        <is>
          <t>主管国际关系、合作与志愿服务的副校长</t>
        </is>
      </c>
      <c r="K254"/>
      <c r="L254" s="2" t="str">
        <f>=HYPERLINK("mailto:sec.internacional@ucm.es", "sec.internacional@ucm.es;vr.internacional@ucm.es")</f>
        <v>sec.internacional@ucm.es;vr.internacional@ucm.es</v>
      </c>
      <c r="M254" t="inlineStr">
        <is>
          <t>91 394 6957</t>
        </is>
      </c>
      <c r="N254" s="3">
        <v>46000</v>
      </c>
      <c r="O254" t="inlineStr">
        <is>
          <t>已联系未回复</t>
        </is>
      </c>
      <c r="P254"/>
      <c r="Q254" t="inlineStr">
        <is>
          <t>嘉兴大学-西班牙葡萄牙</t>
        </is>
      </c>
      <c r="R254"/>
      <c r="S254"/>
      <c r="T254"/>
    </row>
    <row r="255" ht="25.5" customHeight="1">
      <c r="A255" t="inlineStr">
        <is>
          <t>瓦伦西亚大学（Universitat de València ）</t>
        </is>
      </c>
      <c r="B255" t="inlineStr">
        <is>
          <t>西班牙</t>
        </is>
      </c>
      <c r="C255" t="inlineStr">
        <is>
          <t>瓦伦西亚</t>
        </is>
      </c>
      <c r="D255" t="inlineStr">
        <is>
          <t>高校</t>
        </is>
      </c>
      <c r="E255" t="inlineStr">
        <is>
          <t>教育</t>
        </is>
      </c>
      <c r="F255" t="inlineStr">
        <is>
          <t>西班牙瓦伦西亚，Blasco Ibáñez大道23号，邮政编码46010</t>
        </is>
      </c>
      <c r="G255" s="2" t="str">
        <f>=HYPERLINK("https://www.uv.es/", "https://www.uv.es/")</f>
        <v>https://www.uv.es/</v>
      </c>
      <c r="H255" t="inlineStr">
        <is>
          <t>瓦伦西亚大学是西班牙历史悠久的公立综合大学，在化学、材料、经济与农业等领域都有显著教研力量。该校中央的国际合作服务（ ORI ）负责对外交流与合作项目</t>
        </is>
      </c>
      <c r="I255"/>
      <c r="J255" t="inlineStr">
        <is>
          <t>国际关系与合作处</t>
        </is>
      </c>
      <c r="K255"/>
      <c r="L255" s="2" t="str">
        <f>=HYPERLINK("mailto:relaciones.internacionales@uv.es", "relaciones.internacionales@uv.es")</f>
        <v>relaciones.internacionales@uv.es</v>
      </c>
      <c r="M255"/>
      <c r="N255" s="3">
        <v>46000</v>
      </c>
      <c r="O255" t="inlineStr">
        <is>
          <t>已联系未回复</t>
        </is>
      </c>
      <c r="P255"/>
      <c r="Q255" t="inlineStr">
        <is>
          <t>嘉兴大学-西班牙葡萄牙</t>
        </is>
      </c>
      <c r="R255"/>
      <c r="S255"/>
      <c r="T255"/>
    </row>
    <row r="256" ht="25.5" customHeight="1">
      <c r="A256" t="inlineStr">
        <is>
          <t>格拉纳达大学（Universidad de Granada）</t>
        </is>
      </c>
      <c r="B256" t="inlineStr">
        <is>
          <t>西班牙</t>
        </is>
      </c>
      <c r="C256" t="inlineStr">
        <is>
          <t>格拉纳达</t>
        </is>
      </c>
      <c r="D256" t="inlineStr">
        <is>
          <t>高校</t>
        </is>
      </c>
      <c r="E256" t="inlineStr">
        <is>
          <t>教育</t>
        </is>
      </c>
      <c r="F256" t="inlineStr">
        <is>
          <t>西班牙格拉纳达，Hospicio大道，Triunfo行政综合体，邮政信箱S/N，邮政编码18071</t>
        </is>
      </c>
      <c r="G256" s="2" t="str">
        <f>=HYPERLINK("https://www.ugr.es/", "https://www.ugr.es/")</f>
        <v>https://www.ugr.es/</v>
      </c>
      <c r="H256" t="inlineStr">
        <is>
          <t>格拉纳达大学是一所传统与国际化并重的综合性公立大学，文理医药与语言学科影响力强，并在研究产出上名列西班牙前列。其国际处（ International Relations Office ）提供对外交流与国际生服务</t>
        </is>
      </c>
      <c r="I256"/>
      <c r="J256"/>
      <c r="K256"/>
      <c r="L256" s="2" t="str">
        <f>=HYPERLINK("mailto:iro@ugr.es", "iro@ugr.es")</f>
        <v>iro@ugr.es</v>
      </c>
      <c r="M256"/>
      <c r="N256" s="3">
        <v>46000</v>
      </c>
      <c r="O256" t="inlineStr">
        <is>
          <t>触达</t>
        </is>
      </c>
      <c r="P256" t="inlineStr">
        <is>
          <t>回复把邮件转接至相关部门，需要等待反馈</t>
        </is>
      </c>
      <c r="Q256" t="inlineStr">
        <is>
          <t>嘉兴大学-西班牙葡萄牙</t>
        </is>
      </c>
      <c r="R256"/>
      <c r="S256"/>
      <c r="T256"/>
    </row>
    <row r="257" ht="25.5" customHeight="1">
      <c r="A257" t="inlineStr">
        <is>
          <t>萨拉曼卡大学（Universidad de Salamanca）</t>
        </is>
      </c>
      <c r="B257" t="inlineStr">
        <is>
          <t>西班牙</t>
        </is>
      </c>
      <c r="C257" t="inlineStr">
        <is>
          <t>萨拉曼卡</t>
        </is>
      </c>
      <c r="D257" t="inlineStr">
        <is>
          <t>高校</t>
        </is>
      </c>
      <c r="E257" t="inlineStr">
        <is>
          <t>教育</t>
        </is>
      </c>
      <c r="F257" t="inlineStr">
        <is>
          <t>西班牙萨拉曼卡，Escuelas庭院，Benedicto XVI街22号，邮政编码37008</t>
        </is>
      </c>
      <c r="G257" s="2" t="str">
        <f>=HYPERLINK("https://www.usal.es/", "https://www.usal.es/")</f>
        <v>https://www.usal.es/</v>
      </c>
      <c r="H257" t="inlineStr">
        <is>
          <t>萨拉曼卡大学是西班牙最古老的高校之一（历史可追溯至1218年），在人文社科与语言研究传统上尤其突出。该校同时也是国际生与交换生的重要接待方。</t>
        </is>
      </c>
      <c r="I257"/>
      <c r="J257" t="inlineStr">
        <is>
          <t>国际项目办公室</t>
        </is>
      </c>
      <c r="K257"/>
      <c r="L257" s="2" t="str">
        <f>=HYPERLINK("mailto:opi@usal.es", "opi@usal.es")</f>
        <v>opi@usal.es</v>
      </c>
      <c r="M257" t="inlineStr">
        <is>
          <t>923 294 400</t>
        </is>
      </c>
      <c r="N257" s="3">
        <v>46000</v>
      </c>
      <c r="O257" t="inlineStr">
        <is>
          <t>已联系未回复</t>
        </is>
      </c>
      <c r="P257"/>
      <c r="Q257" t="inlineStr">
        <is>
          <t>嘉兴大学-西班牙葡萄牙</t>
        </is>
      </c>
      <c r="R257"/>
      <c r="S257"/>
      <c r="T257"/>
    </row>
    <row r="258" ht="25.5" customHeight="1">
      <c r="A258" t="inlineStr">
        <is>
          <t>科尔多瓦大学（Universidad de Córdoba）</t>
        </is>
      </c>
      <c r="B258" t="inlineStr">
        <is>
          <t>西班牙</t>
        </is>
      </c>
      <c r="C258" t="inlineStr">
        <is>
          <t>科尔多瓦</t>
        </is>
      </c>
      <c r="D258" t="inlineStr">
        <is>
          <t>高校</t>
        </is>
      </c>
      <c r="E258" t="inlineStr">
        <is>
          <t>教育</t>
        </is>
      </c>
      <c r="F258" t="inlineStr">
        <is>
          <t>西班牙科尔多瓦，Medina Azahara大道5号，邮政编码14007</t>
        </is>
      </c>
      <c r="G258" s="2" t="str">
        <f>=HYPERLINK("https://www.uco.es/", "https://www.uco.es/")</f>
        <v>https://www.uco.es/</v>
      </c>
      <c r="H258" t="inlineStr">
        <is>
          <t>科尔多瓦大学是一所在安达卢西亚的公立综合大学，涵盖自然科学、工程、农业、医药、社会科学等多个学科方向。学校兼顾传统学科与应用研究，并设有科研园区与生物／农业／环保等特色研究中心。</t>
        </is>
      </c>
      <c r="I258" t="inlineStr">
        <is>
          <t>José Luis Quero Pérez</t>
        </is>
      </c>
      <c r="J258" t="inlineStr">
        <is>
          <t>国际项目总经理</t>
        </is>
      </c>
      <c r="K258"/>
      <c r="L258" s="2" t="str">
        <f>=HYPERLINK("mailto:dg.pinternacionales@uco.es", "dg.pinternacionales@uco.es")</f>
        <v>dg.pinternacionales@uco.es</v>
      </c>
      <c r="M258"/>
      <c r="N258" s="3">
        <v>46000</v>
      </c>
      <c r="O258" t="inlineStr">
        <is>
          <t>已联系未回复</t>
        </is>
      </c>
      <c r="P258"/>
      <c r="Q258" t="inlineStr">
        <is>
          <t>嘉兴大学-西班牙葡萄牙</t>
        </is>
      </c>
      <c r="R258"/>
      <c r="S258"/>
      <c r="T258"/>
    </row>
    <row r="259" ht="25.5" customHeight="1">
      <c r="A259" t="inlineStr">
        <is>
          <t>胡安一世大学（Universitat Jaume I）</t>
        </is>
      </c>
      <c r="B259" t="inlineStr">
        <is>
          <t>西班牙</t>
        </is>
      </c>
      <c r="C259" t="inlineStr">
        <is>
          <t>卡斯特利翁</t>
        </is>
      </c>
      <c r="D259" t="inlineStr">
        <is>
          <t>高校</t>
        </is>
      </c>
      <c r="E259" t="inlineStr">
        <is>
          <t>教育</t>
        </is>
      </c>
      <c r="F259" t="inlineStr">
        <is>
          <t>西班牙卡斯特利翁，Vicent Sos Baynat大道，邮政信箱s/n，邮政编码12071</t>
        </is>
      </c>
      <c r="G259" s="2" t="str">
        <f>=HYPERLINK("https://www.uji.es/", "https://www.uji.es/")</f>
        <v>https://www.uji.es/</v>
      </c>
      <c r="H259" t="inlineStr">
        <is>
          <t>一所位于 Castellón de la Plana 的中等规模公立大学，创校 1991 年，学科设置灵活，兼顾工科、人文与社会科学，校园环境现代，较适合开展国际化教育与研究合作。</t>
        </is>
      </c>
      <c r="I259" t="inlineStr">
        <is>
          <t>Francisco Fermín Mallén Broch</t>
        </is>
      </c>
      <c r="J259" t="inlineStr">
        <is>
          <t>国际关系办公室学术主任</t>
        </is>
      </c>
      <c r="K259"/>
      <c r="L259" s="2" t="str">
        <f>=HYPERLINK("mailto:fmallen@uji.es", "fmallen@uji.es")</f>
        <v>fmallen@uji.es</v>
      </c>
      <c r="M259"/>
      <c r="N259" s="3">
        <v>46000</v>
      </c>
      <c r="O259" t="inlineStr">
        <is>
          <t>已联系未回复</t>
        </is>
      </c>
      <c r="P259"/>
      <c r="Q259" t="inlineStr">
        <is>
          <t>嘉兴大学-西班牙葡萄牙</t>
        </is>
      </c>
      <c r="R259"/>
      <c r="S259"/>
      <c r="T259"/>
    </row>
    <row r="260" ht="25.5" customHeight="1">
      <c r="A260" t="inlineStr">
        <is>
          <t>穆尔西亚大学（Universidad de Murcia）</t>
        </is>
      </c>
      <c r="B260" t="inlineStr">
        <is>
          <t>西班牙</t>
        </is>
      </c>
      <c r="C260" t="inlineStr">
        <is>
          <t>穆尔西亚</t>
        </is>
      </c>
      <c r="D260" t="inlineStr">
        <is>
          <t>高校</t>
        </is>
      </c>
      <c r="E260" t="inlineStr">
        <is>
          <t>教育</t>
        </is>
      </c>
      <c r="F260" t="inlineStr">
        <is>
          <t>西班牙穆尔西亚，Espinardo校园，Rector Soler大楼，邮政编码30071</t>
        </is>
      </c>
      <c r="G260" s="2" t="str">
        <f>=HYPERLINK("https://www.um.es/", "https://www.um.es/")</f>
        <v>https://www.um.es/</v>
      </c>
      <c r="H260" t="inlineStr">
        <is>
          <t>穆尔西亚大学是西班牙东南部较有代表性的公立综合大学，设有广泛的学科门类与国际学生项目，其国际处提供清晰对外合作与接待机制，适合开展流动与合作研究项目。</t>
        </is>
      </c>
      <c r="I260" t="inlineStr">
        <is>
          <t>Lucília Fonseca</t>
        </is>
      </c>
      <c r="J260" t="inlineStr">
        <is>
          <t>亚洲合作与交流项目</t>
        </is>
      </c>
      <c r="K260"/>
      <c r="L260" s="2" t="str">
        <f>=HYPERLINK("mailto:asia@um.es", "asia@um.es")</f>
        <v>asia@um.es</v>
      </c>
      <c r="M260"/>
      <c r="N260" s="3">
        <v>46000</v>
      </c>
      <c r="O260" t="inlineStr">
        <is>
          <t>已联系已回复</t>
        </is>
      </c>
      <c r="P260" t="inlineStr">
        <is>
          <t>表示该校在工科方面与嘉兴大学不太匹配，可以在其他学科展开合作，并提出建议，如果相展开工科领域合作可以联系本地的Universidad Politécnica de Cartagena</t>
        </is>
      </c>
      <c r="Q260" t="inlineStr">
        <is>
          <t>嘉兴大学-西班牙葡萄牙</t>
        </is>
      </c>
      <c r="R260"/>
      <c r="S260" t="inlineStr">
        <is>
          <t>合作方向：
1. 校际学术交流与联合研究：推动与国内综合性大学建立校级合作关系，开展在共同优势学科领域的师生交流、合作研究及联合发表。
2. 学生交换与联合培养：实施学期或学年制的学分互认交换生项目，并探讨在特定学科开展“2+2”或“3+1”双学位联合培养。
3. 师资培训与教学法研讨：组织中方高校教师赴穆尔西亚大学进行短期访学或参加教学法、课程设计专题工作坊，同时可邀请其专家来华讲学。
4. 合作举办国际学术会议与暑期学校：共同策划并举办聚焦于双方强势学科（如农业科学、法律、信息技术等）的区域性或主题性学术活动，吸引第三方参与。
5. 西班牙语言与文化推广项目：依托其语言中心，为中国学生提供优质的西班牙语沉浸式课程及西班牙文化体验项目。
合作领域：
核心领域：农业与食品科学、法学、信息技术与工程、生物医学（根据其传统优势推断）。
特色领域：西班牙语语言教育、文化遗产研究、地中海研究、体育科学。
合作特点：合作体现 “综合性大学的学科广度与深度结合” ，既可在其传统强项进行专业对接，也可利用其全面的学科设置开展跨学科交流。合作模式规范，易于融入现有的高校国际交流体系。</t>
        </is>
      </c>
      <c r="T260"/>
    </row>
    <row r="261" ht="25.5" customHeight="1">
      <c r="A261" t="inlineStr">
        <is>
          <t>阿尔梅里亚大学（Universidad de Almería）</t>
        </is>
      </c>
      <c r="B261" t="inlineStr">
        <is>
          <t>西班牙</t>
        </is>
      </c>
      <c r="C261" t="inlineStr">
        <is>
          <t>阿尔梅里亚</t>
        </is>
      </c>
      <c r="D261" t="inlineStr">
        <is>
          <t>高校</t>
        </is>
      </c>
      <c r="E261" t="inlineStr">
        <is>
          <t>教育</t>
        </is>
      </c>
      <c r="F261" t="inlineStr">
        <is>
          <t>西班牙阿尔梅里亚，Sacramento公路，La Cañada de San Urbano，邮政信箱s/n</t>
        </is>
      </c>
      <c r="G261" s="2" t="str">
        <f>=HYPERLINK("https://www.ual.es/", "https://www.ual.es/")</f>
        <v>https://www.ual.es/</v>
      </c>
      <c r="H261" t="inlineStr">
        <is>
          <t>UAL 是 1993 年创立的西班牙公立大学，地处地中海沿岸城市阿尔梅里亚，设有多个学院，学科涵盖理、工、商、社会、人文等，近年来积极开展国际学生与研究项目。</t>
        </is>
      </c>
      <c r="I261"/>
      <c r="J261" t="inlineStr">
        <is>
          <t>国际事务部门</t>
        </is>
      </c>
      <c r="K261"/>
      <c r="L261" s="2" t="str">
        <f>=HYPERLINK("mailto:cau.int@ual.es", "cau.int@ual.es")</f>
        <v>cau.int@ual.es</v>
      </c>
      <c r="M261"/>
      <c r="N261" s="3">
        <v>46000</v>
      </c>
      <c r="O261" t="inlineStr">
        <is>
          <t>已联系未回复</t>
        </is>
      </c>
      <c r="P261"/>
      <c r="Q261" t="inlineStr">
        <is>
          <t>嘉兴大学-西班牙葡萄牙</t>
        </is>
      </c>
      <c r="R261"/>
      <c r="S261"/>
      <c r="T261"/>
    </row>
    <row r="262" ht="25.5" customHeight="1">
      <c r="A262" t="inlineStr">
        <is>
          <t>莱昂大学（Universidad de León）</t>
        </is>
      </c>
      <c r="B262" t="inlineStr">
        <is>
          <t>西班牙</t>
        </is>
      </c>
      <c r="C262" t="inlineStr">
        <is>
          <t>莱昂</t>
        </is>
      </c>
      <c r="D262" t="inlineStr">
        <is>
          <t>高校</t>
        </is>
      </c>
      <c r="E262" t="inlineStr">
        <is>
          <t>教育</t>
        </is>
      </c>
      <c r="F262" t="inlineStr">
        <is>
          <t>西班牙莱昂/庞费拉达，卡斯蒂利亚和莱昂地区</t>
        </is>
      </c>
      <c r="G262" s="2" t="str">
        <f>=HYPERLINK("https://www.unileon.es/", "https://www.unileon.es/")</f>
        <v>https://www.unileon.es/</v>
      </c>
      <c r="H262" t="inlineStr">
        <is>
          <t>ULE 成立于 1979 年，是西班牙卡斯蒂利亚‑莱昂自治区的一所公立大学，拥有 León 和 Ponferrada 两个校区，开设广泛本科与研究生课程，在农业/环境/工程/社会科学等方向具有较强覆盖，并日益国际化。</t>
        </is>
      </c>
      <c r="I262" t="inlineStr">
        <is>
          <t>Dña. Salomé Suárez Lantarón</t>
        </is>
      </c>
      <c r="J262" t="inlineStr">
        <is>
          <t>国际事务部秘书</t>
        </is>
      </c>
      <c r="K262"/>
      <c r="L262" s="2" t="str">
        <f>=HYPERLINK("mailto:secgen@unileon.es", "secgen@unileon.es")</f>
        <v>secgen@unileon.es</v>
      </c>
      <c r="M262"/>
      <c r="N262" s="3">
        <v>46000</v>
      </c>
      <c r="O262" t="inlineStr">
        <is>
          <t>触达</t>
        </is>
      </c>
      <c r="P262" t="inlineStr">
        <is>
          <t>回复把邮件转接至国际事务部副校长，需要等待反馈</t>
        </is>
      </c>
      <c r="Q262" t="inlineStr">
        <is>
          <t>嘉兴大学-西班牙葡萄牙</t>
        </is>
      </c>
      <c r="R262"/>
      <c r="S262"/>
      <c r="T262"/>
    </row>
    <row r="263" ht="25.5" customHeight="1">
      <c r="A263" t="inlineStr">
        <is>
          <t>纳瓦拉公立大学（Universidad Pública de Navarra ）</t>
        </is>
      </c>
      <c r="B263" t="inlineStr">
        <is>
          <t>西班牙</t>
        </is>
      </c>
      <c r="C263" t="inlineStr">
        <is>
          <t>潘普洛纳</t>
        </is>
      </c>
      <c r="D263" t="inlineStr">
        <is>
          <t>高校</t>
        </is>
      </c>
      <c r="E263" t="inlineStr">
        <is>
          <t>教育</t>
        </is>
      </c>
      <c r="F263" t="inlineStr">
        <is>
          <t>西班牙潘普洛纳，纳瓦拉</t>
        </is>
      </c>
      <c r="G263" s="2" t="str">
        <f>=HYPERLINK("http://www.unavarra.es/", "http://www.unavarra.es/")</f>
        <v>http://www.unavarra.es/</v>
      </c>
      <c r="H263" t="inlineStr">
        <is>
          <t>UPNA 是 1987 年创立、位于潘普洛纳的西班牙公立大学，设有工程（工业/电信/农业）、健康科学、社会科学与经济管理等学院，适合医疗工程、农业工程、工程技术与跨学科应用型合作。</t>
        </is>
      </c>
      <c r="I263"/>
      <c r="J263" t="inlineStr">
        <is>
          <t>国家化与合作办公室</t>
        </is>
      </c>
      <c r="K263"/>
      <c r="L263" s="2" t="str">
        <f>=HYPERLINK("mailto:cooperacion.desarrollo@unavarra.es", "cooperacion.desarrollo@unavarra.es")</f>
        <v>cooperacion.desarrollo@unavarra.es</v>
      </c>
      <c r="M263"/>
      <c r="N263" s="3">
        <v>46000</v>
      </c>
      <c r="O263" t="inlineStr">
        <is>
          <t>已联系未回复</t>
        </is>
      </c>
      <c r="P263"/>
      <c r="Q263" t="inlineStr">
        <is>
          <t>嘉兴大学-西班牙葡萄牙</t>
        </is>
      </c>
      <c r="R263"/>
      <c r="S263"/>
      <c r="T263"/>
    </row>
    <row r="264" ht="25.5" customHeight="1">
      <c r="A264" t="inlineStr">
        <is>
          <t>加的斯大学（Universidad de Cádiz）</t>
        </is>
      </c>
      <c r="B264" t="inlineStr">
        <is>
          <t>西班牙</t>
        </is>
      </c>
      <c r="C264" t="inlineStr">
        <is>
          <t>加的斯</t>
        </is>
      </c>
      <c r="D264" t="inlineStr">
        <is>
          <t>高校</t>
        </is>
      </c>
      <c r="E264" t="inlineStr">
        <is>
          <t>教育</t>
        </is>
      </c>
      <c r="F264" t="inlineStr">
        <is>
          <t>西班牙加的斯</t>
        </is>
      </c>
      <c r="G264" s="2" t="str">
        <f>=HYPERLINK("http://www.uca.es/", "http://www.uca.es/")</f>
        <v>http://www.uca.es/</v>
      </c>
      <c r="H264" t="inlineStr">
        <is>
          <t>UCA 是坐落在安达卢西亚海滨城市加的斯的一所公立大学，医学、海洋研究与海滨环境研究有传统；适合医疗、海洋科学、环境、新能源等方向。</t>
        </is>
      </c>
      <c r="I264"/>
      <c r="J264" t="inlineStr">
        <is>
          <t>国际合作办公室</t>
        </is>
      </c>
      <c r="K264"/>
      <c r="L264" s="2" t="str">
        <f>=HYPERLINK("mailto:cooperacion.internacional@uca.es", "cooperacion.internacional@uca.es")</f>
        <v>cooperacion.internacional@uca.es</v>
      </c>
      <c r="M264"/>
      <c r="N264" s="3">
        <v>46000</v>
      </c>
      <c r="O264" t="inlineStr">
        <is>
          <t>已联系未回复</t>
        </is>
      </c>
      <c r="P264"/>
      <c r="Q264" t="inlineStr">
        <is>
          <t>嘉兴大学-西班牙葡萄牙</t>
        </is>
      </c>
      <c r="R264"/>
      <c r="S264"/>
      <c r="T264"/>
    </row>
    <row r="265" ht="25.5" customHeight="1">
      <c r="A265" t="inlineStr">
        <is>
          <t>马拉加大学（Universidad de Málaga）</t>
        </is>
      </c>
      <c r="B265" t="inlineStr">
        <is>
          <t>西班牙</t>
        </is>
      </c>
      <c r="C265" t="inlineStr">
        <is>
          <t>马拉加</t>
        </is>
      </c>
      <c r="D265" t="inlineStr">
        <is>
          <t>高校</t>
        </is>
      </c>
      <c r="E265" t="inlineStr">
        <is>
          <t>教育</t>
        </is>
      </c>
      <c r="F265" t="inlineStr">
        <is>
          <t>西班牙马拉加</t>
        </is>
      </c>
      <c r="G265" s="2" t="str">
        <f>=HYPERLINK("http://www.uma.es/", "http://www.uma.es/")</f>
        <v>http://www.uma.es/</v>
      </c>
      <c r="H265" t="inlineStr">
        <is>
          <t>虽然规模较大，但在安达卢西亚地区相比顶尖名校更“地方 / 区域化”，学科覆盖广，适合作为中型目标校之一。</t>
        </is>
      </c>
      <c r="I265"/>
      <c r="J265" t="inlineStr">
        <is>
          <t>国际项目办公室</t>
        </is>
      </c>
      <c r="K265"/>
      <c r="L265" s="2" t="str">
        <f>=HYPERLINK("mailto:opi@uma.es", "opi@uma.es")</f>
        <v>opi@uma.es</v>
      </c>
      <c r="M265"/>
      <c r="N265" s="3">
        <v>46000</v>
      </c>
      <c r="O265" t="inlineStr">
        <is>
          <t>已联系未回复</t>
        </is>
      </c>
      <c r="P265"/>
      <c r="Q265" t="inlineStr">
        <is>
          <t>嘉兴大学-西班牙葡萄牙</t>
        </is>
      </c>
      <c r="R265"/>
      <c r="S265"/>
      <c r="T265"/>
    </row>
    <row r="266" ht="25.5" customHeight="1">
      <c r="A266" t="inlineStr">
        <is>
          <t>西班牙奥维耶多大学（University of Oviedo）</t>
        </is>
      </c>
      <c r="B266" t="inlineStr">
        <is>
          <t>西班牙</t>
        </is>
      </c>
      <c r="C266" t="inlineStr">
        <is>
          <t>奥维耶多</t>
        </is>
      </c>
      <c r="D266" t="inlineStr">
        <is>
          <t>高校</t>
        </is>
      </c>
      <c r="E266" t="inlineStr">
        <is>
          <t>教育</t>
        </is>
      </c>
      <c r="F266" t="inlineStr">
        <is>
          <t>西班牙奥维耶多，González Besada街13号，邮政编码33007</t>
        </is>
      </c>
      <c r="G266" s="2" t="str">
        <f>=HYPERLINK("https://www.uniovi.es/", "https://www.uniovi.es/")</f>
        <v>https://www.uniovi.es/</v>
      </c>
      <c r="H266" t="inlineStr">
        <is>
          <t>公立大学，学生人数约 19,000，校区分布在奥维耶多、Gijón 和 Mieres，是阿斯图里亚斯地区的主要高校。规模适中，不像大都市大学那么庞大，对国际交流与合作更灵活。</t>
        </is>
      </c>
      <c r="I266"/>
      <c r="J266" t="inlineStr">
        <is>
          <t>国际项目部</t>
        </is>
      </c>
      <c r="K266"/>
      <c r="L266" s="2" t="str">
        <f>=HYPERLINK("mailto:inter.movilidad@uniovi.es", "inter.movilidad@uniovi.es")</f>
        <v>inter.movilidad@uniovi.es</v>
      </c>
      <c r="M266"/>
      <c r="N266" s="3">
        <v>46000</v>
      </c>
      <c r="O266" t="inlineStr">
        <is>
          <t>触达</t>
        </is>
      </c>
      <c r="P266" t="inlineStr">
        <is>
          <t>很感兴趣，但是要填写访问表格</t>
        </is>
      </c>
      <c r="Q266" t="inlineStr">
        <is>
          <t>嘉兴大学-西班牙葡萄牙</t>
        </is>
      </c>
      <c r="R266"/>
      <c r="S266"/>
      <c r="T266"/>
    </row>
    <row r="267" ht="25.5" customHeight="1">
      <c r="A267" t="inlineStr">
        <is>
          <t>Pablo de Olavide 大学（Pablo de Olavide University）</t>
        </is>
      </c>
      <c r="B267" t="inlineStr">
        <is>
          <t>西班牙</t>
        </is>
      </c>
      <c r="C267" t="inlineStr">
        <is>
          <t>塞维利亚</t>
        </is>
      </c>
      <c r="D267" t="inlineStr">
        <is>
          <t>高校</t>
        </is>
      </c>
      <c r="E267" t="inlineStr">
        <is>
          <t>教育</t>
        </is>
      </c>
      <c r="F267" t="inlineStr">
        <is>
          <t>西班牙塞维利亚，Utrera路1公里，邮政编码41013</t>
        </is>
      </c>
      <c r="G267" s="2" t="str">
        <f>=HYPERLINK("https://www.upo.es/", "https://www.upo.es/")</f>
        <v>https://www.upo.es/</v>
      </c>
      <c r="H267" t="inlineStr">
        <is>
          <t>成立于 1997 年，是西班牙较新的公立大学之一，本科 + 研究生项目多样。学生数大约 10,000 左右，是“年轻／中型”大学，校园现代、管理机制灵活，适合开展国际学生交流 / 访问 /合作。</t>
        </is>
      </c>
      <c r="I267"/>
      <c r="J267" t="inlineStr">
        <is>
          <t>国际交换与合作</t>
        </is>
      </c>
      <c r="K267"/>
      <c r="L267" s="2" t="str">
        <f>=HYPERLINK("mailto:erasmus@upo.es", "erasmus@upo.es")</f>
        <v>erasmus@upo.es</v>
      </c>
      <c r="M267"/>
      <c r="N267" s="3">
        <v>46000</v>
      </c>
      <c r="O267" t="inlineStr">
        <is>
          <t>已联系未回复</t>
        </is>
      </c>
      <c r="P267"/>
      <c r="Q267" t="inlineStr">
        <is>
          <t>嘉兴大学-西班牙葡萄牙</t>
        </is>
      </c>
      <c r="R267"/>
      <c r="S267"/>
      <c r="T267"/>
    </row>
    <row r="268" ht="25.5" customHeight="1">
      <c r="A268" t="inlineStr">
        <is>
          <t>卡斯蒂利亚–拉曼查大学（University of Castilla–La Mancha）</t>
        </is>
      </c>
      <c r="B268" t="inlineStr">
        <is>
          <t>西班牙</t>
        </is>
      </c>
      <c r="C268" t="inlineStr">
        <is>
          <t>雷阿尔城</t>
        </is>
      </c>
      <c r="D268" t="inlineStr">
        <is>
          <t>高校</t>
        </is>
      </c>
      <c r="E268" t="inlineStr">
        <is>
          <t>教育</t>
        </is>
      </c>
      <c r="F268" t="inlineStr">
        <is>
          <t>西班牙Ciudad Real，Altagracia街50号，邮政编码13071</t>
        </is>
      </c>
      <c r="G268" s="2" t="str">
        <f>=HYPERLINK("https://www.uclm.es/", "https://www.uclm.es/")</f>
        <v>https://www.uclm.es/</v>
      </c>
      <c r="H268" t="inlineStr">
        <is>
          <t>公立大学，覆盖多个城市／校区，区域覆盖范围广，但每个校区相比大城市大学学生密度较低，便于开展区域合作 / 访问 /学术项目。</t>
        </is>
      </c>
      <c r="I268" t="inlineStr">
        <is>
          <t>Ana I. Fernández Pérez</t>
        </is>
      </c>
      <c r="J268" t="inlineStr">
        <is>
          <t>国际关系办公室总负责人</t>
        </is>
      </c>
      <c r="K268"/>
      <c r="L268" s="2" t="str">
        <f>=HYPERLINK("mailto:ori@uclm.es", "ori@uclm.es")</f>
        <v>ori@uclm.es</v>
      </c>
      <c r="M268"/>
      <c r="N268" s="3">
        <v>46000</v>
      </c>
      <c r="O268" t="inlineStr">
        <is>
          <t>已联系未回复</t>
        </is>
      </c>
      <c r="P268"/>
      <c r="Q268" t="inlineStr">
        <is>
          <t>嘉兴大学-西班牙葡萄牙</t>
        </is>
      </c>
      <c r="R268"/>
      <c r="S268"/>
      <c r="T268"/>
    </row>
    <row r="269" ht="25.5" customHeight="1">
      <c r="A269" t="inlineStr">
        <is>
          <t>塞维利亚大学（Universidad de Sevilla）</t>
        </is>
      </c>
      <c r="B269" t="inlineStr">
        <is>
          <t>西班牙</t>
        </is>
      </c>
      <c r="C269" t="inlineStr">
        <is>
          <t>塞维利亚</t>
        </is>
      </c>
      <c r="D269" t="inlineStr">
        <is>
          <t>高校</t>
        </is>
      </c>
      <c r="E269" t="inlineStr">
        <is>
          <t>教育</t>
        </is>
      </c>
      <c r="F269" t="inlineStr">
        <is>
          <t>西班牙塞维利亚，Delicias大街，邮政信箱s/n，邮政编码41013</t>
        </is>
      </c>
      <c r="G269" s="2" t="str">
        <f>=HYPERLINK("https://www.us.es/", "https://www.us.es/")</f>
        <v>https://www.us.es/</v>
      </c>
      <c r="H269" t="inlineStr">
        <is>
          <t>塞维利亚大学成立于1505年，是西班牙历史悠久的公立综合大学之一。学校设有众多学院，涵盖工程、医学、社会科学、人文学科等多个领域。</t>
        </is>
      </c>
      <c r="I269"/>
      <c r="J269" t="inlineStr">
        <is>
          <t>发展合作办办公室</t>
        </is>
      </c>
      <c r="K269"/>
      <c r="L269" s="2" t="str">
        <f>=HYPERLINK("mailto:infocooperacion@us.es", "infocooperacion@us.es")</f>
        <v>infocooperacion@us.es</v>
      </c>
      <c r="M269" t="inlineStr">
        <is>
          <t>+34 954556377</t>
        </is>
      </c>
      <c r="N269" s="3">
        <v>46000</v>
      </c>
      <c r="O269" t="inlineStr">
        <is>
          <t>已联系未回复</t>
        </is>
      </c>
      <c r="P269"/>
      <c r="Q269" t="inlineStr">
        <is>
          <t>嘉兴大学-西班牙葡萄牙</t>
        </is>
      </c>
      <c r="R269"/>
      <c r="S269"/>
      <c r="T269"/>
    </row>
    <row r="270" ht="25.5" customHeight="1">
      <c r="A270" t="inlineStr">
        <is>
          <t>瓦伦西亚理工大学（Universitat Politècnica de València）</t>
        </is>
      </c>
      <c r="B270" t="inlineStr">
        <is>
          <t>西班牙</t>
        </is>
      </c>
      <c r="C270" t="inlineStr">
        <is>
          <t>瓦伦西亚</t>
        </is>
      </c>
      <c r="D270" t="inlineStr">
        <is>
          <t>高校</t>
        </is>
      </c>
      <c r="E270" t="inlineStr">
        <is>
          <t>教育</t>
        </is>
      </c>
      <c r="F270" t="inlineStr">
        <is>
          <t>西班牙瓦伦西亚，Vera路，邮政信箱s/n，邮政编码46022</t>
        </is>
      </c>
      <c r="G270" s="2" t="str">
        <f>=HYPERLINK("http://www.upv.es/", "http://www.upv.es/")</f>
        <v>http://www.upv.es/</v>
      </c>
      <c r="H270" t="inlineStr">
        <is>
          <t>瓦伦西亚理工
大学成立于1968年，是西班牙东部的重要理工科大学。学校以工程、建筑和技术科学见长，注重实践和应用研究。</t>
        </is>
      </c>
      <c r="I270"/>
      <c r="J270" t="inlineStr">
        <is>
          <t>国际事务办公室</t>
        </is>
      </c>
      <c r="K270"/>
      <c r="L270" s="2" t="str">
        <f>=HYPERLINK("mailto:international@upv.es", "international@upv.es")</f>
        <v>international@upv.es</v>
      </c>
      <c r="M270"/>
      <c r="N270" s="3">
        <v>46000</v>
      </c>
      <c r="O270" t="inlineStr">
        <is>
          <t>已联系未回复</t>
        </is>
      </c>
      <c r="P270"/>
      <c r="Q270" t="inlineStr">
        <is>
          <t>嘉兴大学-西班牙葡萄牙</t>
        </is>
      </c>
      <c r="R270"/>
      <c r="S270"/>
      <c r="T270"/>
    </row>
    <row r="271" ht="25.5" customHeight="1">
      <c r="A271" t="inlineStr">
        <is>
          <t>巴利亚多利德大学（University of Valladolid）</t>
        </is>
      </c>
      <c r="B271" t="inlineStr">
        <is>
          <t>西班牙</t>
        </is>
      </c>
      <c r="C271" t="inlineStr">
        <is>
          <t>巴利亚多利德</t>
        </is>
      </c>
      <c r="D271" t="inlineStr">
        <is>
          <t>高校</t>
        </is>
      </c>
      <c r="E271" t="inlineStr">
        <is>
          <t>教育</t>
        </is>
      </c>
      <c r="F271" t="inlineStr">
        <is>
          <t>西班牙巴利亚多利德，Santa Cruz广场8号，邮政编码47002</t>
        </is>
      </c>
      <c r="G271" s="2" t="str">
        <f>=HYPERLINK("https://www.uva.es/", "https://www.uva.es/")</f>
        <v>https://www.uva.es/</v>
      </c>
      <c r="H271" t="inlineStr">
        <is>
          <t>巴利亚多利德大学成立于1241年，是西班牙历史最悠久的大学之一。学校提供广泛的学科课程，包括理工、健康、社会科学和人文学科。</t>
        </is>
      </c>
      <c r="I271"/>
      <c r="J271" t="inlineStr">
        <is>
          <t>SYLVIA MONTERO</t>
        </is>
      </c>
      <c r="K271"/>
      <c r="L271" s="2" t="str">
        <f>=HYPERLINK("mailto:smontero@uva.es", "smontero@uva.es")</f>
        <v>smontero@uva.es</v>
      </c>
      <c r="M271"/>
      <c r="N271" s="3">
        <v>46000</v>
      </c>
      <c r="O271" t="inlineStr">
        <is>
          <t>已联系未回复</t>
        </is>
      </c>
      <c r="P271"/>
      <c r="Q271" t="inlineStr">
        <is>
          <t>嘉兴大学-西班牙葡萄牙</t>
        </is>
      </c>
      <c r="R271"/>
      <c r="S271"/>
      <c r="T271"/>
    </row>
    <row r="272" ht="25.5" customHeight="1">
      <c r="A272" t="inlineStr">
        <is>
          <t>卡斯尔·阿伊尼医学院（Kasr Al Ainy Faculty of Medicine）</t>
        </is>
      </c>
      <c r="B272" t="inlineStr">
        <is>
          <t>埃及</t>
        </is>
      </c>
      <c r="C272" t="inlineStr">
        <is>
          <t>开罗</t>
        </is>
      </c>
      <c r="D272" t="inlineStr">
        <is>
          <t>医院</t>
        </is>
      </c>
      <c r="E272" t="inlineStr">
        <is>
          <t>医疗行业</t>
        </is>
      </c>
      <c r="F272" t="inlineStr">
        <is>
          <t>卡斯尔·阿伊尼医学院，开罗阿尔曼亚尔，埃及</t>
        </is>
      </c>
      <c r="G272" s="2" t="str">
        <f>=HYPERLINK("http://www.medicine.cu.edu.eg/", "www.medicine.cu.edu.eg")</f>
        <v>www.medicine.cu.edu.eg</v>
      </c>
      <c r="H272" t="inlineStr">
        <is>
          <t>卡斯尔·阿伊尼医学院是埃及最古老的医学学院之一，位于开罗。该学院的附属医院——卡斯尔·阿伊尼医院，是埃及医学领域的重要标杆，医院致力于提供高水平的临床服务，并且是医学研究和教育的中心。</t>
        </is>
      </c>
      <c r="I272"/>
      <c r="J272"/>
      <c r="K272"/>
      <c r="L272" s="2" t="str">
        <f>=HYPERLINK("mailto:website@kasralainy.edu.eg", "website@kasralainy.edu.eg")</f>
        <v>website@kasralainy.edu.eg</v>
      </c>
      <c r="M272" t="inlineStr">
        <is>
          <t>+202 23647545</t>
        </is>
      </c>
      <c r="N272" s="3">
        <v>46026</v>
      </c>
      <c r="O272" t="inlineStr">
        <is>
          <t>已联系未回复</t>
        </is>
      </c>
      <c r="P272"/>
      <c r="Q272" t="inlineStr">
        <is>
          <t>静安卫健委-埃及土耳其</t>
        </is>
      </c>
      <c r="R272"/>
      <c r="S272"/>
      <c r="T272"/>
    </row>
    <row r="273" ht="25.5" customHeight="1">
      <c r="A273" t="inlineStr">
        <is>
          <t>曼苏拉大学医院（Mansoura University Hospital）</t>
        </is>
      </c>
      <c r="B273" t="inlineStr">
        <is>
          <t>埃及</t>
        </is>
      </c>
      <c r="C273" t="inlineStr">
        <is>
          <t>曼苏拉市</t>
        </is>
      </c>
      <c r="D273" t="inlineStr">
        <is>
          <t>医院</t>
        </is>
      </c>
      <c r="E273" t="inlineStr">
        <is>
          <t>医疗行业</t>
        </is>
      </c>
      <c r="F273" t="inlineStr">
        <is>
          <t>曼苏拉大学医院，曼苏拉市，达赫利亚省，埃及</t>
        </is>
      </c>
      <c r="G273" s="2" t="str">
        <f>=HYPERLINK("https://muh.mans.edu.eg/", "https://muh.mans.edu.eg/")</f>
        <v>https://muh.mans.edu.eg/</v>
      </c>
      <c r="H273" t="inlineStr">
        <is>
          <t>曼苏拉大学医院是埃及曼苏拉大学附属医院，提供高质量的医疗服务和先进的医疗技术。该医院主要服务于学生和社区，具有广泛的医学学科，包括内科、外科、妇产科、儿科等。它还承担着医学研究和培训的任务。</t>
        </is>
      </c>
      <c r="I273"/>
      <c r="J273"/>
      <c r="K273"/>
      <c r="L273" s="2" t="str">
        <f>=HYPERLINK("mailto:dentfac@mans.edu.eg", "dentfac@mans.edu.eg")</f>
        <v>dentfac@mans.edu.eg</v>
      </c>
      <c r="M273" t="inlineStr">
        <is>
          <t>2202835（050） 002</t>
        </is>
      </c>
      <c r="N273" s="3">
        <v>46026</v>
      </c>
      <c r="O273" t="inlineStr">
        <is>
          <t>已联系已回复</t>
        </is>
      </c>
      <c r="P273" t="inlineStr">
        <is>
          <t>表示愿意在26那年接待代表团</t>
        </is>
      </c>
      <c r="Q273" t="inlineStr">
        <is>
          <t>静安卫健委-埃及土耳其</t>
        </is>
      </c>
      <c r="R273"/>
      <c r="S273" t="inlineStr">
        <is>
          <t>合作方向：
了解医疗卫生系统模式：探索并交流不同国家在医疗卫生系统中的发展经验与模式，特别是在医疗管理和政策方面的创新与挑战。
探索医学教育与培训：推动医学教育合作，开展定期学术交流和技术培训，邀请曼苏拉大学医院专家进行临床技能展示和专题讲座。
促进国际医疗卫生合作：共同研究远程医疗、跨国医疗合作等领域，促进医学技术与管理经验的共享。
推动知识交流：举办医学领域的国际学术会议和研讨会，促进两国医疗技术和科研水平的提升。
合作领域：
核心领域：医学教育、临床技能培训、医疗卫生政策、远程医疗。
特色领域：医学科研、跨国医疗合作、医疗管理创新。</t>
        </is>
      </c>
      <c r="T273"/>
    </row>
    <row r="274" ht="25.5" customHeight="1">
      <c r="A274" t="inlineStr">
        <is>
          <t>亚历山大大学医院（Alexandria University Hospital）</t>
        </is>
      </c>
      <c r="B274" t="inlineStr">
        <is>
          <t>埃及</t>
        </is>
      </c>
      <c r="C274" t="inlineStr">
        <is>
          <t>亚历山大</t>
        </is>
      </c>
      <c r="D274" t="inlineStr">
        <is>
          <t>医院</t>
        </is>
      </c>
      <c r="E274" t="inlineStr">
        <is>
          <t>医疗行业</t>
        </is>
      </c>
      <c r="F274" t="inlineStr">
        <is>
          <t>亚历山大大学医院，赫雷亚路，斯穆哈，亚历山大，埃及</t>
        </is>
      </c>
      <c r="G274" s="2" t="str">
        <f>=HYPERLINK("https://www.alexu.edu.eg/", "https://www.alexu.edu.eg/")</f>
        <v>https://www.alexu.edu.eg/</v>
      </c>
      <c r="H274" t="inlineStr">
        <is>
          <t>亚历山大大学医院位于埃及的亚历山大市，是该市的一所知名综合性医院。作为亚历山大大学的附属医院，它不仅提供全面的医疗服务，还肩负医学教育与科研的重任，服务包括急诊、住院、手术及各类专科门诊。</t>
        </is>
      </c>
      <c r="I274"/>
      <c r="J274"/>
      <c r="K274"/>
      <c r="L274" s="2" t="str">
        <f>=HYPERLINK("mailto:president@alexu.edu.eg", "president@alexu.edu.eg")</f>
        <v>president@alexu.edu.eg</v>
      </c>
      <c r="M274" t="inlineStr">
        <is>
          <t>03 5921678</t>
        </is>
      </c>
      <c r="N274" s="3">
        <v>46026</v>
      </c>
      <c r="O274" t="inlineStr">
        <is>
          <t>已联系未回复</t>
        </is>
      </c>
      <c r="P274"/>
      <c r="Q274" t="inlineStr">
        <is>
          <t>静安卫健委-埃及土耳其</t>
        </is>
      </c>
      <c r="R274"/>
      <c r="S274"/>
      <c r="T274"/>
    </row>
    <row r="275" ht="25.5" customHeight="1">
      <c r="A275" t="inlineStr">
        <is>
          <t>艾因夏姆斯大学医院（Ain Shams University Hospitals）</t>
        </is>
      </c>
      <c r="B275" t="inlineStr">
        <is>
          <t>埃及</t>
        </is>
      </c>
      <c r="C275" t="inlineStr">
        <is>
          <t>开罗</t>
        </is>
      </c>
      <c r="D275" t="inlineStr">
        <is>
          <t>医院</t>
        </is>
      </c>
      <c r="E275" t="inlineStr">
        <is>
          <t>医疗行业</t>
        </is>
      </c>
      <c r="F275" t="inlineStr">
        <is>
          <t>艾因夏姆斯大学医院，开罗阿巴西亚，哈利法·马蒙街，埃及</t>
        </is>
      </c>
      <c r="G275" s="2" t="str">
        <f>=HYPERLINK("https://hospitals.asu.edu.eg/?lang=ar", "https://hospitals.asu.edu.eg/?lang=ar")</f>
        <v>https://hospitals.asu.edu.eg/?lang=ar</v>
      </c>
      <c r="H275" t="inlineStr">
        <is>
          <t>艾因夏姆斯大学医院位于开罗，是埃及最重要的医疗机构之一，隶属于艾因夏姆斯大学。医院提供各种医疗服务，涵盖了广泛的专业科室，特别是在癌症治疗、心脏病和骨科方面具有先进的技术与经验。</t>
        </is>
      </c>
      <c r="I275"/>
      <c r="J275"/>
      <c r="K275"/>
      <c r="L275" s="2" t="str">
        <f>=HYPERLINK("mailto:info@hos.asu.edu.eg", "info@hos.asu.edu.eg")</f>
        <v>info@hos.asu.edu.eg</v>
      </c>
      <c r="M275" t="inlineStr">
        <is>
          <t>00224346114</t>
        </is>
      </c>
      <c r="N275" s="3">
        <v>46026</v>
      </c>
      <c r="O275" t="inlineStr">
        <is>
          <t>已联系未回复</t>
        </is>
      </c>
      <c r="P275"/>
      <c r="Q275" t="inlineStr">
        <is>
          <t>静安卫健委-埃及土耳其</t>
        </is>
      </c>
      <c r="R275"/>
      <c r="S275"/>
      <c r="T275"/>
    </row>
    <row r="276" ht="25.5" customHeight="1">
      <c r="A276" t="inlineStr">
        <is>
          <t>阿斯旺大学医院（Aswan University Hospital）</t>
        </is>
      </c>
      <c r="B276" t="inlineStr">
        <is>
          <t>埃及</t>
        </is>
      </c>
      <c r="C276" t="inlineStr">
        <is>
          <t>阿斯旺</t>
        </is>
      </c>
      <c r="D276" t="inlineStr">
        <is>
          <t>医院</t>
        </is>
      </c>
      <c r="E276" t="inlineStr">
        <is>
          <t>医疗行业</t>
        </is>
      </c>
      <c r="F276" t="inlineStr">
        <is>
          <t>阿斯旺大学医院，阿斯旺大学，阿斯旺，埃及</t>
        </is>
      </c>
      <c r="G276" s="2" t="str">
        <f>=HYPERLINK("https://aswu.edu.eg/en/", "大学网址：https://aswu.edu.eg/en/")</f>
        <v>大学网址：https://aswu.edu.eg/en/</v>
      </c>
      <c r="H276" t="inlineStr">
        <is>
          <t>阿斯旺大学医院是埃及阿斯旺大学的附属医院，提供高质量的医疗服务，尤其在热带疾病、外科手术和产科领域具有显著优势。医院还致力于医学教育和科学研究，是南埃及地区重要的医疗机构。</t>
        </is>
      </c>
      <c r="I276" t="inlineStr">
        <is>
          <t>Mohamed Zaki Dahshoury</t>
        </is>
      </c>
      <c r="J276" t="inlineStr">
        <is>
          <t>院长</t>
        </is>
      </c>
      <c r="K276"/>
      <c r="L276" s="2" t="str">
        <f>=HYPERLINK("mailto:dean@med.aswu.edu.eg", "dean@med.aswu.edu.eg")</f>
        <v>dean@med.aswu.edu.eg</v>
      </c>
      <c r="M276" t="inlineStr">
        <is>
          <t>097/2430767</t>
        </is>
      </c>
      <c r="N276" s="3">
        <v>46026</v>
      </c>
      <c r="O276" t="inlineStr">
        <is>
          <t>已联系未回复</t>
        </is>
      </c>
      <c r="P276"/>
      <c r="Q276" t="inlineStr">
        <is>
          <t>静安卫健委-埃及土耳其</t>
        </is>
      </c>
      <c r="R276"/>
      <c r="S276"/>
      <c r="T276"/>
    </row>
    <row r="277" ht="25.5" customHeight="1">
      <c r="A277" t="inlineStr">
        <is>
          <t>阿尔阿兹哈尔大学医院（Al Azhar University Hospital）</t>
        </is>
      </c>
      <c r="B277" t="inlineStr">
        <is>
          <t>埃及</t>
        </is>
      </c>
      <c r="C277" t="inlineStr">
        <is>
          <t>开罗</t>
        </is>
      </c>
      <c r="D277" t="inlineStr">
        <is>
          <t>医院</t>
        </is>
      </c>
      <c r="E277" t="inlineStr">
        <is>
          <t>医疗行业</t>
        </is>
      </c>
      <c r="F277" t="inlineStr">
        <is>
          <t>阿尔阿兹哈尔大学医院，开罗阿尔阿兹哈尔街，巴布·艾尔沙里亚，埃及</t>
        </is>
      </c>
      <c r="G277" s="2" t="str">
        <f>=HYPERLINK("https://www.universitiesegypt.com/al-azhar-university/contacts", "https://www.universitiesegypt.com/al-azhar-university/contacts")</f>
        <v>https://www.universitiesegypt.com/al-azhar-university/contacts</v>
      </c>
      <c r="H277" t="inlineStr">
        <is>
          <t>阿尔阿兹哈尔大学医院隶属于世界著名的阿尔阿兹哈尔大学，是埃及最古老和最具影响力的医院之一。医院提供全面的医疗服务，专注于教育和培训，是医疗专业人士的培养基地之一。</t>
        </is>
      </c>
      <c r="I277"/>
      <c r="J277"/>
      <c r="K277"/>
      <c r="L277" s="2" t="str">
        <f>=HYPERLINK("mailto:info@azhar.edu.eg", "info@azhar.edu.eginfo@email.co")</f>
        <v>info@azhar.edu.eginfo@email.co</v>
      </c>
      <c r="M277" t="inlineStr">
        <is>
          <t>0222611404</t>
        </is>
      </c>
      <c r="N277" s="3">
        <v>46026</v>
      </c>
      <c r="O277" t="inlineStr">
        <is>
          <t>已联系未回复</t>
        </is>
      </c>
      <c r="P277"/>
      <c r="Q277" t="inlineStr">
        <is>
          <t>静安卫健委-埃及土耳其</t>
        </is>
      </c>
      <c r="R277"/>
      <c r="S277"/>
      <c r="T277"/>
    </row>
    <row r="278" ht="25.5" customHeight="1">
      <c r="A278" t="inlineStr">
        <is>
          <t>阿萨拉姆国际医院（As-Salam International Hospital）</t>
        </is>
      </c>
      <c r="B278" t="inlineStr">
        <is>
          <t>埃及</t>
        </is>
      </c>
      <c r="C278" t="inlineStr">
        <is>
          <t>开罗</t>
        </is>
      </c>
      <c r="D278" t="inlineStr">
        <is>
          <t>医院</t>
        </is>
      </c>
      <c r="E278" t="inlineStr">
        <is>
          <t>医疗行业</t>
        </is>
      </c>
      <c r="F278" t="inlineStr">
        <is>
          <t>阿萨拉姆国际医院，开罗，马阿迪，埃及</t>
        </is>
      </c>
      <c r="G278" s="2" t="str">
        <f>=HYPERLINK("https://www.assih.com/", "https://www.assih.com/")</f>
        <v>https://www.assih.com/</v>
      </c>
      <c r="H278" t="inlineStr">
        <is>
          <t>阿萨拉姆国际医院位于开罗，是一家提供全面医疗服务的综合医院。医院设备现代，提供从基础检查到复杂手术的各种医疗服务，尤其在急诊和外科治疗方面具有卓越的专业能力。</t>
        </is>
      </c>
      <c r="I278"/>
      <c r="J278"/>
      <c r="K278"/>
      <c r="L278" s="2" t="str">
        <f>=HYPERLINK("mailto:info@assih.com", "info@assih.com")</f>
        <v>info@assih.com</v>
      </c>
      <c r="M278"/>
      <c r="N278" s="3">
        <v>46026</v>
      </c>
      <c r="O278" t="inlineStr">
        <is>
          <t>已联系未回复</t>
        </is>
      </c>
      <c r="P278"/>
      <c r="Q278" t="inlineStr">
        <is>
          <t>静安卫健委-埃及土耳其</t>
        </is>
      </c>
      <c r="R278"/>
      <c r="S278"/>
      <c r="T278"/>
    </row>
    <row r="279" ht="25.5" customHeight="1">
      <c r="A279" t="inlineStr">
        <is>
          <t>开罗医疗中心（Cairo Medical Center, CMC）</t>
        </is>
      </c>
      <c r="B279" t="inlineStr">
        <is>
          <t>埃及</t>
        </is>
      </c>
      <c r="C279" t="inlineStr">
        <is>
          <t>开罗</t>
        </is>
      </c>
      <c r="D279" t="inlineStr">
        <is>
          <t>医疗中心</t>
        </is>
      </c>
      <c r="E279" t="inlineStr">
        <is>
          <t>医疗行业</t>
        </is>
      </c>
      <c r="F279" t="inlineStr">
        <is>
          <t>开罗新城，第五区，162 El Tesaeen El Shamaly街，开罗，埃及</t>
        </is>
      </c>
      <c r="G279" s="2" t="str">
        <f>=HYPERLINK("https://exceptionaltoursegypt.com/ancient-egyptian-healing-centers/", "https://exceptionaltoursegypt.com/ancient-egyptian-healing-centers/")</f>
        <v>https://exceptionaltoursegypt.com/ancient-egyptian-healing-centers/</v>
      </c>
      <c r="H279" t="inlineStr">
        <is>
          <t>开罗医疗中心（CMC）是埃及的一家大型私立医疗机构，提供多种专科服务，包括心脏病、内科、外科等。该中心以其先进的医疗设备和优质的患者护理而闻名。</t>
        </is>
      </c>
      <c r="I279"/>
      <c r="J279"/>
      <c r="K279"/>
      <c r="L279" s="2" t="str">
        <f>=HYPERLINK("mailto:info@exceptionaltoursegypt.com", "info@exceptionaltoursegypt.com")</f>
        <v>info@exceptionaltoursegypt.com</v>
      </c>
      <c r="M279" t="inlineStr">
        <is>
          <t>+201009674412</t>
        </is>
      </c>
      <c r="N279" s="3">
        <v>46026</v>
      </c>
      <c r="O279" t="inlineStr">
        <is>
          <t>已联系未回复</t>
        </is>
      </c>
      <c r="P279"/>
      <c r="Q279" t="inlineStr">
        <is>
          <t>静安卫健委-埃及土耳其</t>
        </is>
      </c>
      <c r="R279"/>
      <c r="S279"/>
      <c r="T279"/>
    </row>
    <row r="280" ht="25.5" customHeight="1">
      <c r="A280" t="inlineStr">
        <is>
          <t>胡尔加达医疗中心（Hurghada Medical Center）</t>
        </is>
      </c>
      <c r="B280" t="inlineStr">
        <is>
          <t>埃及</t>
        </is>
      </c>
      <c r="C280" t="inlineStr">
        <is>
          <t>胡尔加达</t>
        </is>
      </c>
      <c r="D280" t="inlineStr">
        <is>
          <t>医疗中心</t>
        </is>
      </c>
      <c r="E280" t="inlineStr">
        <is>
          <t>医疗行业</t>
        </is>
      </c>
      <c r="F280" t="inlineStr">
        <is>
          <t>胡尔加达，考斯特区，埃及住房与发展银行对面，邮政编码84517，埃及</t>
        </is>
      </c>
      <c r="G280" s="2" t="str">
        <f>=HYPERLINK("https://hurghadamedicalcenter.com/", "https://hurghadamedicalcenter.com/")</f>
        <v>https://hurghadamedicalcenter.com/</v>
      </c>
      <c r="H280" t="inlineStr">
        <is>
          <t>胡尔加达医疗中心位于红海度假城市胡尔加达，致力于为当地居民和游客提供急诊、常规检查和治疗服务。该中心以其便捷的地理位置和高效的医疗服务受到欢迎，尤其在处理海滨旅游相关的急症方面具有经验。</t>
        </is>
      </c>
      <c r="I280"/>
      <c r="J280"/>
      <c r="K280"/>
      <c r="L280" s="2" t="str">
        <f>=HYPERLINK("mailto:info@hurghadamedicalcenter.com", "info@hurghadamedicalcenter.com")</f>
        <v>info@hurghadamedicalcenter.com</v>
      </c>
      <c r="M280" t="inlineStr">
        <is>
          <t>+2010 6936 8072</t>
        </is>
      </c>
      <c r="N280" s="3">
        <v>46026</v>
      </c>
      <c r="O280" t="inlineStr">
        <is>
          <t>已联系未回复</t>
        </is>
      </c>
      <c r="P280"/>
      <c r="Q280" t="inlineStr">
        <is>
          <t>静安卫健委-埃及土耳其</t>
        </is>
      </c>
      <c r="R280"/>
      <c r="S280"/>
      <c r="T280"/>
    </row>
    <row r="281" ht="25.5" customHeight="1">
      <c r="A281" t="inlineStr">
        <is>
          <t>嘉尔丹尼亚医疗中心（Gardenia Medical Center）</t>
        </is>
      </c>
      <c r="B281" t="inlineStr">
        <is>
          <t>埃及</t>
        </is>
      </c>
      <c r="C281" t="inlineStr">
        <is>
          <t>胡尔加达</t>
        </is>
      </c>
      <c r="D281" t="inlineStr">
        <is>
          <t>医疗中心</t>
        </is>
      </c>
      <c r="E281" t="inlineStr">
        <is>
          <t>医疗行业</t>
        </is>
      </c>
      <c r="F281" t="inlineStr">
        <is>
          <t>胡尔加达，萨赫尔哈希什，红海省，埃及</t>
        </is>
      </c>
      <c r="G281" s="2" t="str">
        <f>=HYPERLINK("https://gardeniamedicalcenter.com/", "https://gardeniamedicalcenter.com/")</f>
        <v>https://gardeniamedicalcenter.com/</v>
      </c>
      <c r="H281" t="inlineStr">
        <is>
          <t>嘉尔丹尼亚医疗中心是位于埃及的一家现代化医疗机构，提供全面的医疗服务，包括内科、外科、牙科等。该中心致力于提供高品质的医疗护理，并且拥有一支经验丰富的医疗团队。</t>
        </is>
      </c>
      <c r="I281"/>
      <c r="J281"/>
      <c r="K281"/>
      <c r="L281" s="2" t="str">
        <f>=HYPERLINK("mailto:info@gardeniamedicalcenter.com", "info@gardeniamedicalcenter.com")</f>
        <v>info@gardeniamedicalcenter.com</v>
      </c>
      <c r="M281" t="inlineStr">
        <is>
          <t>+2 01016918671</t>
        </is>
      </c>
      <c r="N281" s="3">
        <v>46026</v>
      </c>
      <c r="O281" t="inlineStr">
        <is>
          <t>已联系未回复</t>
        </is>
      </c>
      <c r="P281"/>
      <c r="Q281" t="inlineStr">
        <is>
          <t>静安卫健委-埃及土耳其</t>
        </is>
      </c>
      <c r="R281"/>
      <c r="S281"/>
      <c r="T281"/>
    </row>
    <row r="282" ht="25.5" customHeight="1">
      <c r="A282" t="inlineStr">
        <is>
          <t>国际医学中心（International Medical Center）</t>
        </is>
      </c>
      <c r="B282" t="inlineStr">
        <is>
          <t>埃及</t>
        </is>
      </c>
      <c r="C282" t="inlineStr">
        <is>
          <t>开罗</t>
        </is>
      </c>
      <c r="D282" t="inlineStr">
        <is>
          <t>医疗中心</t>
        </is>
      </c>
      <c r="E282" t="inlineStr">
        <is>
          <t>医疗行业</t>
        </is>
      </c>
      <c r="F282" t="inlineStr">
        <is>
          <t>开罗，开萨·以斯梅利亚沙漠高速公路42公里处，靠近第2号门，El Shuluk城市，埃及</t>
        </is>
      </c>
      <c r="G282" s="2" t="str">
        <f>=HYPERLINK("http://www.imc.org.eg/imc_r/", "http://www.imc.org.eg/imc_r/")</f>
        <v>http://www.imc.org.eg/imc_r/</v>
      </c>
      <c r="H282" t="inlineStr">
        <is>
          <t>国际医学中心是一家位于开罗的医疗机构，专注于提供高水平的国际化医疗服务。医院内配备了先进的设备，专注于心脏病、肿瘤、妇产科等领域，吸引了大量的国际患者。</t>
        </is>
      </c>
      <c r="I282"/>
      <c r="J282"/>
      <c r="K282"/>
      <c r="L282" s="2" t="str">
        <f>=HYPERLINK("mailto:IMC@imc.org.eg", "IMC@imc.org.eg")</f>
        <v>IMC@imc.org.eg</v>
      </c>
      <c r="M282" t="inlineStr">
        <is>
          <t>24775902-02</t>
        </is>
      </c>
      <c r="N282" s="3">
        <v>46026</v>
      </c>
      <c r="O282" t="inlineStr">
        <is>
          <t>已联系未回复</t>
        </is>
      </c>
      <c r="P282"/>
      <c r="Q282" t="inlineStr">
        <is>
          <t>静安卫健委-埃及土耳其</t>
        </is>
      </c>
      <c r="R282"/>
      <c r="S282"/>
      <c r="T282"/>
    </row>
    <row r="283" ht="25.5" customHeight="1">
      <c r="A283" t="inlineStr">
        <is>
          <t>联合医生医疗中心（United Doctor Medical Center）</t>
        </is>
      </c>
      <c r="B283" t="inlineStr">
        <is>
          <t>埃及</t>
        </is>
      </c>
      <c r="C283" t="inlineStr">
        <is>
          <t>开罗</t>
        </is>
      </c>
      <c r="D283" t="inlineStr">
        <is>
          <t>医疗中心</t>
        </is>
      </c>
      <c r="E283" t="inlineStr">
        <is>
          <t>医疗行业</t>
        </is>
      </c>
      <c r="F283" t="inlineStr">
        <is>
          <t>胡尔加达，Florenza Khamsin沙滩旁，红海省，邮政编码84511，埃及</t>
        </is>
      </c>
      <c r="G283" s="2" t="str">
        <f>=HYPERLINK("https://ud-mc.com/", "https://ud-mc.com/")</f>
        <v>https://ud-mc.com/</v>
      </c>
      <c r="H283" t="inlineStr">
        <is>
          <t>联合医生医疗中心是一家提供综合性医疗服务的机构，拥有先进的设备和经验丰富的医疗团队。它的服务范围涵盖了内科、外科、眼科、牙科等多个领域，致力于为患者提供高效、优质的医疗体验。</t>
        </is>
      </c>
      <c r="I283"/>
      <c r="J283"/>
      <c r="K283"/>
      <c r="L283" s="2" t="str">
        <f>=HYPERLINK("mailto:info@ud-mc.com", "info@ud-mc.com")</f>
        <v>info@ud-mc.com</v>
      </c>
      <c r="M283" t="inlineStr">
        <is>
          <t>+2 01500718999</t>
        </is>
      </c>
      <c r="N283" s="3">
        <v>46026</v>
      </c>
      <c r="O283" t="inlineStr">
        <is>
          <t>已联系未回复</t>
        </is>
      </c>
      <c r="P283"/>
      <c r="Q283" t="inlineStr">
        <is>
          <t>静安卫健委-埃及土耳其</t>
        </is>
      </c>
      <c r="R283"/>
      <c r="S283"/>
      <c r="T283"/>
    </row>
    <row r="284" ht="25.5" customHeight="1">
      <c r="A284" t="inlineStr">
        <is>
          <t>阿拉伯承包商医疗中心（Arab Contractors Medical Centre）</t>
        </is>
      </c>
      <c r="B284" t="inlineStr">
        <is>
          <t>埃及</t>
        </is>
      </c>
      <c r="C284" t="inlineStr">
        <is>
          <t>开罗</t>
        </is>
      </c>
      <c r="D284" t="inlineStr">
        <is>
          <t>医疗中心</t>
        </is>
      </c>
      <c r="E284" t="inlineStr">
        <is>
          <t>医疗行业</t>
        </is>
      </c>
      <c r="F284" t="inlineStr">
        <is>
          <t>开罗，纳斯尔市，阿布盖亚，阿尔纳赛尔路，埃及，邮政编码4433013</t>
        </is>
      </c>
      <c r="G284" s="2" t="str">
        <f>=HYPERLINK("https://www.ac-medicalcenter.com/", "https://www.ac-medicalcenter.com/")</f>
        <v>https://www.ac-medicalcenter.com/</v>
      </c>
      <c r="H284" t="inlineStr">
        <is>
          <t>阿拉伯承包商医疗中心隶属于阿拉伯承包商公司，提供多领域的医疗服务，包括健康检查、外科手术及紧急医疗服务。该医疗中心配备了现代化的设施，致力于为员工和公众提供医疗支持。</t>
        </is>
      </c>
      <c r="I284"/>
      <c r="J284"/>
      <c r="K284"/>
      <c r="L284" s="2" t="str">
        <f>=HYPERLINK("mailto:info@ac-medicalcenter.com", "info@ac-medicalcenter.com")</f>
        <v>info@ac-medicalcenter.com</v>
      </c>
      <c r="M284" t="inlineStr">
        <is>
          <t>24881370 (202)</t>
        </is>
      </c>
      <c r="N284" s="3">
        <v>46026</v>
      </c>
      <c r="O284" t="inlineStr">
        <is>
          <t>已联系未回复</t>
        </is>
      </c>
      <c r="P284"/>
      <c r="Q284" t="inlineStr">
        <is>
          <t>静安卫健委-埃及土耳其</t>
        </is>
      </c>
      <c r="R284"/>
      <c r="S284"/>
      <c r="T284"/>
    </row>
    <row r="285" ht="25.5" customHeight="1">
      <c r="A285" t="inlineStr">
        <is>
          <t>萨赫尔哈希什医疗中心（Sahl Hasheesh Medical Centre）</t>
        </is>
      </c>
      <c r="B285" t="inlineStr">
        <is>
          <t>埃及</t>
        </is>
      </c>
      <c r="C285" t="inlineStr">
        <is>
          <t>胡加达</t>
        </is>
      </c>
      <c r="D285" t="inlineStr">
        <is>
          <t>医疗中心</t>
        </is>
      </c>
      <c r="E285" t="inlineStr">
        <is>
          <t>医疗行业</t>
        </is>
      </c>
      <c r="F285" t="inlineStr">
        <is>
          <t>胡尔加达，Tropitel酒店内，红海省，邮政编码84521，埃及</t>
        </is>
      </c>
      <c r="G285" s="2" t="str">
        <f>=HYPERLINK("https://sh-medicalcentre.com/", "https://sh-medicalcentre.com/")</f>
        <v>https://sh-medicalcentre.com/</v>
      </c>
      <c r="H285" t="inlineStr">
        <is>
          <t>萨赫尔哈希什医疗中心位于埃及的红海沿岸，专为度假区的游客提供医疗服务。它提供紧急医疗护理、常规检查、诊断服务等，并且致力于处理与旅游相关的健康问题。</t>
        </is>
      </c>
      <c r="I285"/>
      <c r="J285"/>
      <c r="K285"/>
      <c r="L285" s="2" t="str">
        <f>=HYPERLINK("mailto:info@sh-medicalcentre.com", "info@sh-medicalcentre.com")</f>
        <v>info@sh-medicalcentre.com</v>
      </c>
      <c r="M285" t="inlineStr">
        <is>
          <t>+201273044278</t>
        </is>
      </c>
      <c r="N285" s="3">
        <v>46026</v>
      </c>
      <c r="O285" t="inlineStr">
        <is>
          <t>已联系未回复</t>
        </is>
      </c>
      <c r="P285"/>
      <c r="Q285" t="inlineStr">
        <is>
          <t>静安卫健委-埃及土耳其</t>
        </is>
      </c>
      <c r="R285"/>
      <c r="S285"/>
      <c r="T285"/>
    </row>
    <row r="286" ht="25.5" customHeight="1">
      <c r="A286" t="inlineStr">
        <is>
          <t>达尔·福阿德医院（Dar Al Fouad Hospital）</t>
        </is>
      </c>
      <c r="B286" t="inlineStr">
        <is>
          <t>埃及</t>
        </is>
      </c>
      <c r="C286" t="inlineStr">
        <is>
          <t>开罗</t>
        </is>
      </c>
      <c r="D286" t="inlineStr">
        <is>
          <t>医院</t>
        </is>
      </c>
      <c r="E286" t="inlineStr">
        <is>
          <t>医疗行业</t>
        </is>
      </c>
      <c r="F286" t="inlineStr">
        <is>
          <t>吉萨省，第6区旅游区，26th of July走廊，第一阶段，邮政编码12568，埃及</t>
        </is>
      </c>
      <c r="G286" s="2" t="str">
        <f>=HYPERLINK("https://daralfouadoctober.alameda-hc.com/csr/", "https://daralfouadoctober.alameda-hc.com/csr/")</f>
        <v>https://daralfouadoctober.alameda-hc.com/csr/</v>
      </c>
      <c r="H286" t="inlineStr">
        <is>
          <t>达尔·福阿德医院是埃及一家顶级的私立医院，提供高水平的医疗服务，包括内科、外科、癌症治疗和心脏病护理等。医院具有先进的医疗设施，是埃及最具声誉的医疗机构之一。</t>
        </is>
      </c>
      <c r="I286" t="inlineStr">
        <is>
          <t>Dr. Mohammed Hussein</t>
        </is>
      </c>
      <c r="J286" t="inlineStr">
        <is>
          <t>业务拓展总监</t>
        </is>
      </c>
      <c r="K286"/>
      <c r="L286" s="2" t="str">
        <f>=HYPERLINK("mailto:info@example.com", "info@example.com")</f>
        <v>info@example.com</v>
      </c>
      <c r="M286" t="inlineStr">
        <is>
          <t>+1 （859） 254-6589</t>
        </is>
      </c>
      <c r="N286" s="3">
        <v>46026</v>
      </c>
      <c r="O286" t="inlineStr">
        <is>
          <t>已联系未回复</t>
        </is>
      </c>
      <c r="P286"/>
      <c r="Q286" t="inlineStr">
        <is>
          <t>静安卫健委-埃及土耳其</t>
        </is>
      </c>
      <c r="R286"/>
      <c r="S286"/>
      <c r="T286"/>
    </row>
    <row r="287" ht="25.5" customHeight="1">
      <c r="A287" t="inlineStr">
        <is>
          <t>埃及诊所中心（EGYPT CLINIC）</t>
        </is>
      </c>
      <c r="B287" t="inlineStr">
        <is>
          <t>埃及</t>
        </is>
      </c>
      <c r="C287" t="inlineStr">
        <is>
          <t>开罗</t>
        </is>
      </c>
      <c r="D287" t="inlineStr">
        <is>
          <t>诊所</t>
        </is>
      </c>
      <c r="E287" t="inlineStr">
        <is>
          <t>医疗行业</t>
        </is>
      </c>
      <c r="F287" t="inlineStr">
        <is>
          <t>吉萨，莫拉德街8号，吉萨广场，贾德塔楼，11楼，埃及</t>
        </is>
      </c>
      <c r="G287" s="2" t="str">
        <f>=HYPERLINK("https://egypt-clinic.net/", "https://egypt-clinic.net/")</f>
        <v>https://egypt-clinic.net/</v>
      </c>
      <c r="H287" t="inlineStr">
        <is>
          <t>埃及诊所中心是一家提供综合性医疗服务的医疗机构，提供全科医疗、健康检查、急诊护理等服务。该诊所致力于为患者提供高效、专业的医疗服务，注重患者的健康管理和长期护理。</t>
        </is>
      </c>
      <c r="I287"/>
      <c r="J287"/>
      <c r="K287"/>
      <c r="L287" s="2" t="str">
        <f>=HYPERLINK("mailto:info@egyptclinic.com", "info@egyptclinic.com")</f>
        <v>info@egyptclinic.com</v>
      </c>
      <c r="M287" t="inlineStr">
        <is>
          <t>+026020777754</t>
        </is>
      </c>
      <c r="N287" s="3">
        <v>46026</v>
      </c>
      <c r="O287" t="inlineStr">
        <is>
          <t>已联系未回复</t>
        </is>
      </c>
      <c r="P287"/>
      <c r="Q287" t="inlineStr">
        <is>
          <t>静安卫健委-埃及土耳其</t>
        </is>
      </c>
      <c r="R287"/>
      <c r="S287"/>
      <c r="T287"/>
    </row>
    <row r="288" ht="25.5" customHeight="1">
      <c r="A288" t="inlineStr">
        <is>
          <t>菲尤姆大学（Fayoum University）</t>
        </is>
      </c>
      <c r="B288" t="inlineStr">
        <is>
          <t>埃及</t>
        </is>
      </c>
      <c r="C288" t="inlineStr">
        <is>
          <t>菲尤姆</t>
        </is>
      </c>
      <c r="D288" t="inlineStr">
        <is>
          <t>高校</t>
        </is>
      </c>
      <c r="E288" t="inlineStr">
        <is>
          <t>医疗行业</t>
        </is>
      </c>
      <c r="F288" t="inlineStr">
        <is>
          <t>菲尤姆大学，阿尔米什塔尔街，大学区，埃及</t>
        </is>
      </c>
      <c r="G288" s="2" t="str">
        <f>=HYPERLINK("https://www.fayoum.edu.eg/", "大学网址：https://www.fayoum.edu.eg/,医学院网址：https://www.fayoum.edu.eg/ar/Faculty/Details/16")</f>
        <v>大学网址：https://www.fayoum.edu.eg/,医学院网址：https://www.fayoum.edu.eg/ar/Faculty/Details/16</v>
      </c>
      <c r="H288" t="inlineStr">
        <is>
          <t>菲尤姆大学（Fayoum University）位于埃及的法尤姆省，成立于2005年，是一所综合性大学，致力于提供高质量的教育和研究。大学设有多个学术学院，涵盖医学、工程、商学、人文学科、社会科学等领域。医学学院尤为重要，提供医学、护理、公共卫生等专业，致力于培养具有创新思维和实践能力的医学专业人才。菲尤姆大学在埃及的高等教育体系中具有逐渐增长的影响力，尤其在医学教育领域，注重国际合作和学术交流。</t>
        </is>
      </c>
      <c r="I288" t="inlineStr">
        <is>
          <t>Randa Eldessouki,代表Dr. Naglaa Abdel-Khaleq Ahmed El-Sherbiny</t>
        </is>
      </c>
      <c r="J288" t="inlineStr">
        <is>
          <t>医学院公共卫生教授代表院长</t>
        </is>
      </c>
      <c r="K288"/>
      <c r="L288" s="2" t="str">
        <f>=HYPERLINK("http://nas02@fayoum.edu.eg；rfe11@fayoum.edu.eg", "nas02@fayoum.edu.eg；rfe11@fayoum.edu.eg")</f>
        <v>nas02@fayoum.edu.eg；rfe11@fayoum.edu.eg</v>
      </c>
      <c r="M288"/>
      <c r="N288" s="3">
        <v>46026</v>
      </c>
      <c r="O288" t="inlineStr">
        <is>
          <t>已联系已回复</t>
        </is>
      </c>
      <c r="P288" t="inlineStr">
        <is>
          <t>希望了解更多关于代表团的访问，并且告知如果要访问需要3-6个月的时间来审批整个形成</t>
        </is>
      </c>
      <c r="Q288" t="inlineStr">
        <is>
          <t>静安卫健委-埃及土耳其</t>
        </is>
      </c>
      <c r="R288"/>
      <c r="S288" t="inlineStr">
        <is>
          <t>合作方向：
1. 政府卫生健康代表团学术访问：组织上海市静安区卫健委及下属公立医院管理层、公共卫生专家代表团赴埃及，进行医疗卫生体系、医院管理及医学教育模式的考察与对话。
2. 医学教育与住院医师培训交流：探讨在临床医学、公共卫生等领域的课程共建、师资交换，以及住院医师规范化培训体系的经验分享与合作。
3. 联合科研与学术研讨会：聚焦双方共同关注的领域（如数字健康、特定疾病研究、初级卫生保健），开展合作研究并共同举办学术会议。
4. 公共卫生与社区卫生服务经验共享：交流在公共卫生政策实施、慢性病管理、社区卫生服务整合等方面的实践经验与模式。
5. 医务人员短期进修与继续医学教育（CME）：安排中方医务人员赴该校进行短期临床观摩或专题培训，同时可引入中方优势学科的继续教育项目。
合作领域：
核心领域：公共卫生、临床医学教育、医院管理、数字健康。
特色领域：社区卫生服务、传染病/慢性病防控、传统医学与现代医学结合（如中埃传统医学交流）。
合作特点：合作建立在 “政府主导的公共卫生与医学教育合作” 框架下，具有官方性、系统性和公益性。需严格遵守双方行政审批流程（如对方提及的3-6个月审批期），合作周期较长，但成果易形成区域性示范效应。</t>
        </is>
      </c>
      <c r="T288"/>
    </row>
    <row r="289" ht="25.5" customHeight="1">
      <c r="A289" t="inlineStr">
        <is>
          <t>萨尔哈大学（Sohag University）</t>
        </is>
      </c>
      <c r="B289" t="inlineStr">
        <is>
          <t>埃及</t>
        </is>
      </c>
      <c r="C289" t="inlineStr">
        <is>
          <t>索哈格</t>
        </is>
      </c>
      <c r="D289" t="inlineStr">
        <is>
          <t>高校</t>
        </is>
      </c>
      <c r="E289" t="inlineStr">
        <is>
          <t>医疗行业</t>
        </is>
      </c>
      <c r="F289" t="inlineStr">
        <is>
          <t>新索哈格市，索哈格省，邮政编码1646130，埃及</t>
        </is>
      </c>
      <c r="G289" s="2" t="str">
        <f>=HYPERLINK("https://www.sohag-univ.edu.eg/ar/home-2/", "https://www.sohag-univ.edu.eg/ar/home-2/")</f>
        <v>https://www.sohag-univ.edu.eg/ar/home-2/</v>
      </c>
      <c r="H289" t="inlineStr">
        <is>
          <t>萨尔哈大学（Sohag University）位于埃及南部的萨尔哈市，是一所综合性大学，成立于2006年。大学为学生提供广泛的学术课程，包括医学、工学、文学、教育、商学等。萨尔哈大学的医学学院专注于为学生提供高质量的医学教育，培训未来的医学专业人才。该校的医学、牙科、药学等学科逐渐受到认可，注重国际合作与学术研究。作为南部埃及的重要教育机构，萨尔哈大学积极与国际高校和医疗机构开展合作交流。</t>
        </is>
      </c>
      <c r="I289"/>
      <c r="J289"/>
      <c r="K289"/>
      <c r="L289" s="2" t="str">
        <f>=HYPERLINK("mailto:portal@med.sohag.edu.eg", "portal@med.sohag.edu.eg")</f>
        <v>portal@med.sohag.edu.eg</v>
      </c>
      <c r="M289" t="inlineStr">
        <is>
          <t xml:space="preserve">(093)-460296 </t>
        </is>
      </c>
      <c r="N289" s="3">
        <v>46026</v>
      </c>
      <c r="O289" t="inlineStr">
        <is>
          <t>已联系未回复</t>
        </is>
      </c>
      <c r="P289"/>
      <c r="Q289" t="inlineStr">
        <is>
          <t>静安卫健委-埃及土耳其</t>
        </is>
      </c>
      <c r="R289"/>
      <c r="S289"/>
      <c r="T289"/>
    </row>
    <row r="290" ht="25.5" customHeight="1">
      <c r="A290" t="inlineStr">
        <is>
          <t>开罗大学（Cairo University）</t>
        </is>
      </c>
      <c r="B290" t="inlineStr">
        <is>
          <t>埃及</t>
        </is>
      </c>
      <c r="C290" t="inlineStr">
        <is>
          <t>开罗</t>
        </is>
      </c>
      <c r="D290" t="inlineStr">
        <is>
          <t>高校</t>
        </is>
      </c>
      <c r="E290" t="inlineStr">
        <is>
          <t>医疗行业</t>
        </is>
      </c>
      <c r="F290" t="inlineStr">
        <is>
          <t>开罗阿尔曼亚尔，卡斯尔·阿伊尼医学院，邮政编码11956，埃及</t>
        </is>
      </c>
      <c r="G290" s="2" t="str">
        <f>=HYPERLINK("https://cu.edu.eg/Home", "https://cu.edu.eg/Home")</f>
        <v>https://cu.edu.eg/Home</v>
      </c>
      <c r="H290" t="inlineStr">
        <is>
          <t>开罗大学（Cairo University），成立于1908年，是埃及及阿拉伯世界最顶尖的大学之一。作为埃及最大的高等教育机构之一，开罗大学提供广泛的本科和研究生课程，涵盖医学、工程、社会科学、艺术、法律、商学等多个领域。开罗大学的医学学院在全球享有盛誉，是中东地区最具影响力的医学教育机构之一。其附属医院和研究机构为医学领域的前沿科研提供了坚实基础。开罗大学不仅是教育和学术研究的中心，也是国际合作和学术交流的枢纽，吸引了世界各地的学生和研究人员。尽管它是顶尖大学，但也有许多国际合作项目，尤其在医学领域，容易对接到相关合作项目。</t>
        </is>
      </c>
      <c r="I290"/>
      <c r="J290"/>
      <c r="K290"/>
      <c r="L290" s="2" t="str">
        <f>=HYPERLINK("mailto:website@kasralainy.edu.eg", "website@kasralainy.edu.eg")</f>
        <v>website@kasralainy.edu.eg</v>
      </c>
      <c r="M290" t="inlineStr">
        <is>
          <t>+202 3647545</t>
        </is>
      </c>
      <c r="N290" s="3">
        <v>46026</v>
      </c>
      <c r="O290" t="inlineStr">
        <is>
          <t>已联系未回复</t>
        </is>
      </c>
      <c r="P290"/>
      <c r="Q290" t="inlineStr">
        <is>
          <t>静安卫健委-埃及土耳其</t>
        </is>
      </c>
      <c r="R290"/>
      <c r="S290"/>
      <c r="T290"/>
    </row>
    <row r="291" ht="25.5" customHeight="1">
      <c r="A291" t="inlineStr">
        <is>
          <t>埃及中国大学（Egyptian Chinese University）</t>
        </is>
      </c>
      <c r="B291" t="inlineStr">
        <is>
          <t>埃及</t>
        </is>
      </c>
      <c r="C291" t="inlineStr">
        <is>
          <t>开罗</t>
        </is>
      </c>
      <c r="D291" t="inlineStr">
        <is>
          <t>高校</t>
        </is>
      </c>
      <c r="E291" t="inlineStr">
        <is>
          <t>医疗行业</t>
        </is>
      </c>
      <c r="F291" t="inlineStr">
        <is>
          <t>开罗，Heliopolis分校：Gesr ElSuez街，Tagneed桥后，埃及；纳斯尔市分校：阿尔哈伊·阿尔阿谢尔，纳斯尔市，开罗，埃及</t>
        </is>
      </c>
      <c r="G291" s="2" t="str">
        <f>=HYPERLINK("https://ecu.edu.eg/", "https://ecu.edu.eg/")</f>
        <v>https://ecu.edu.eg/</v>
      </c>
      <c r="H291" t="inlineStr">
        <is>
          <t>Cairo Chinese University，CCU是一所由中埃两国政府合作设立的大学，旨在促进中埃文化与教育交流。该校设有多个学科，其中包括现代医学和健康科学方向。尽管其重点不完全在物理治疗领域，学校通过与中国的合作，引入了包括传统中医在内的健康治疗理念和方法，为学生提供了跨文化的学习体验，尤其是在中医、推拿等方面。通过这些课程，学生能深入了解中医的治病理念，增强他们在医疗健康领域的跨国合作能力。</t>
        </is>
      </c>
      <c r="I291" t="inlineStr">
        <is>
          <t>Prof. Dr. Samy A Nasef</t>
        </is>
      </c>
      <c r="J291" t="inlineStr">
        <is>
          <t>物理治疗院长</t>
        </is>
      </c>
      <c r="K291"/>
      <c r="L291" s="2" t="str">
        <f>=HYPERLINK("http://samynasef59@gmailDr.samynasef@pua.edu.eg", "samynasef59@gmailDr.samynasef@pua.edu.eg")</f>
        <v>samynasef59@gmailDr.samynasef@pua.edu.eg</v>
      </c>
      <c r="M291"/>
      <c r="N291" s="3">
        <v>46026</v>
      </c>
      <c r="O291" t="inlineStr">
        <is>
          <t>已联系已回复</t>
        </is>
      </c>
      <c r="P291" t="inlineStr">
        <is>
          <t>表示欢迎来访需要代表团和本次访问的具体信息</t>
        </is>
      </c>
      <c r="Q291" t="inlineStr">
        <is>
          <t>静安卫健委-埃及土耳其</t>
        </is>
      </c>
      <c r="R291"/>
      <c r="S291" t="inlineStr">
        <is>
          <t>合作方向：
1. 校际学术交流与联合研究：推动与国内体育类、医学类或康复治疗优势高校建立合作关系，开展师生互访、学术研讨会及在康复医学、运动科学等领域的联合研究。
2. 师资培训与课程共建：接收该学院教师来华进行短期进修或专项培训，同时可派遣中国康复治疗、运动医学专家赴埃进行讲学，协助其课程体系优化与师资能力提升。
3. 学生联合培养与实习交换：探索“2+2”、“3+1”等双学位联合培养模式，或设立短期临床见习/实习交换项目，让学生体验中埃不同的康复实践体系。
4. 康复技术与中国传统疗法交流：引入中医康复技术（如推拿、针灸在康复中的应用）作为其特色选修课程或工作坊，促进中西医康复理念与技术的融合。
5. 合作举办学术会议与专业论坛：共同在埃及或中国举办以物理治疗、康复医学为主题的区域性国际会议，提升双方在专业领域的影响力。
合作领域：
核心领域：物理治疗、康复医学、运动损伤康复、神经康复。
特色领域：中西医结合康复、社区康复、康复工程与辅助技术。
合作特点：合作立足于 “康复医学的专业教育与实践创新” ，兼具学术性、临床性与文化交融性。作为中埃教育合作的产物，该学院本身即是跨文化合作的桥梁，合作易于找到共同语言和契合点。</t>
        </is>
      </c>
      <c r="T291"/>
    </row>
    <row r="292" ht="25.5" customHeight="1">
      <c r="A292" t="inlineStr">
        <is>
          <t>本哈国立大学（Benha University）</t>
        </is>
      </c>
      <c r="B292" t="inlineStr">
        <is>
          <t>埃及</t>
        </is>
      </c>
      <c r="C292" t="inlineStr">
        <is>
          <t>本哈</t>
        </is>
      </c>
      <c r="D292" t="inlineStr">
        <is>
          <t>高校</t>
        </is>
      </c>
      <c r="E292" t="inlineStr">
        <is>
          <t>医疗行业</t>
        </is>
      </c>
      <c r="F292" t="inlineStr">
        <is>
          <t>本哈，法里德·纳达街，阿尔卡柳比亚省，邮政编码13511，埃及</t>
        </is>
      </c>
      <c r="G292" s="2" t="str">
        <f>=HYPERLINK("https://bu.edu.eg/en/", "https://bu.edu.eg/en/")</f>
        <v>https://bu.edu.eg/en/</v>
      </c>
      <c r="H292" t="inlineStr">
        <is>
          <t>Benha University位于埃及凯卢比亚省，本哈市，是一所综合性大学，设有多个专业学院。该校的医学与健康科学学院特别强调物理治疗、康复医学及运动科学。学校开设了多种物理治疗专业课程，涵盖运动损伤、神经康复、疼痛管理等领域。作为当地领先的教育机构，本哈大学致力于培养学生的临床技能，并通过与国际医学院的合作，提升学生的实践能力，帮助其更好地服务于社会的康复需求。</t>
        </is>
      </c>
      <c r="I292"/>
      <c r="J292"/>
      <c r="K292"/>
      <c r="L292" s="2" t="str">
        <f>=HYPERLINK("mailto:info@bu.edu.eg", "info@bu.edu.eg")</f>
        <v>info@bu.edu.eg</v>
      </c>
      <c r="M292"/>
      <c r="N292" s="3">
        <v>46026</v>
      </c>
      <c r="O292" t="inlineStr">
        <is>
          <t>已联系未回复</t>
        </is>
      </c>
      <c r="P292"/>
      <c r="Q292" t="inlineStr">
        <is>
          <t>静安卫健委-埃及土耳其</t>
        </is>
      </c>
      <c r="R292"/>
      <c r="S292"/>
      <c r="T292"/>
    </row>
    <row r="293" ht="25.5" customHeight="1">
      <c r="A293" t="inlineStr">
        <is>
          <t>梅努菲亚大学（Menoufia University）</t>
        </is>
      </c>
      <c r="B293" t="inlineStr">
        <is>
          <t>埃及</t>
        </is>
      </c>
      <c r="C293" t="inlineStr">
        <is>
          <t>梅努菲亚</t>
        </is>
      </c>
      <c r="D293" t="inlineStr">
        <is>
          <t>高校</t>
        </is>
      </c>
      <c r="E293" t="inlineStr">
        <is>
          <t>医疗行业</t>
        </is>
      </c>
      <c r="F293" t="inlineStr">
        <is>
          <t>梅努菲亚大学，Shibin El Kom，梅努菲亚省，埃及</t>
        </is>
      </c>
      <c r="G293" s="2" t="str">
        <f>=HYPERLINK("https://www.menofia.edu.eg/Home/en", "https://www.menofia.edu.eg/Home/en")</f>
        <v>https://www.menofia.edu.eg/Home/en</v>
      </c>
      <c r="H293" t="inlineStr">
        <is>
          <t>Menoufia University位于埃及的梅努菲亚省，作为一所学科齐全的大学，梅努菲亚大学的医学和健康科学专业尤其受到关注。该校的物理治疗系提供多样化的课程，包括传统物理治疗技术、运动康复和疼痛管理等课程。梅努菲亚大学的物理治疗专业着眼于临床实习和基础研究，学生通过深入的实践训练，具备为患者提供有效康复治疗的能力。该校强调跨学科的合作和科研，致力于提升当地医疗行业的康复治疗水平。</t>
        </is>
      </c>
      <c r="I293" t="inlineStr">
        <is>
          <t>Prof.Ahmed Farag El-Kased</t>
        </is>
      </c>
      <c r="J293" t="inlineStr">
        <is>
          <t>校长</t>
        </is>
      </c>
      <c r="K293"/>
      <c r="L293" s="2" t="str">
        <f>=HYPERLINK("mailto:ahmed.elkased@med.menofia.edu.eg", "ahmed.elkased@med.menofia.edu.eg；elkased@hotmail.com")</f>
        <v>ahmed.elkased@med.menofia.edu.eg；elkased@hotmail.com</v>
      </c>
      <c r="M293"/>
      <c r="N293" s="3">
        <v>46026</v>
      </c>
      <c r="O293" t="inlineStr">
        <is>
          <t>已联系未回复</t>
        </is>
      </c>
      <c r="P293"/>
      <c r="Q293" t="inlineStr">
        <is>
          <t>静安卫健委-埃及土耳其</t>
        </is>
      </c>
      <c r="R293"/>
      <c r="S293"/>
      <c r="T293"/>
    </row>
    <row r="294" ht="25.5" customHeight="1">
      <c r="A294" t="inlineStr">
        <is>
          <t>阿尔里亚达科技大学（Al-Reyada University of Technology）</t>
        </is>
      </c>
      <c r="B294" t="inlineStr">
        <is>
          <t>埃及</t>
        </is>
      </c>
      <c r="C294" t="inlineStr">
        <is>
          <t>开罗</t>
        </is>
      </c>
      <c r="D294" t="inlineStr">
        <is>
          <t>高校</t>
        </is>
      </c>
      <c r="E294" t="inlineStr">
        <is>
          <t>医疗行业</t>
        </is>
      </c>
      <c r="F294" t="inlineStr">
        <is>
          <t>开罗-亚历山大沙漠公路K92号，萨达特市，中央大道，埃及</t>
        </is>
      </c>
      <c r="G294" s="2" t="str">
        <f>=HYPERLINK("https://rst.edu.eg/", "https://rst.edu.eg/")</f>
        <v>https://rst.edu.eg/</v>
      </c>
      <c r="H294" t="inlineStr">
        <is>
          <t>Al-Reyada University of Technology位于埃及，是一所以技术和应用科学为主的教育机构，特别注重健康科技领域的创新。该校的健康技术学科涵盖了物理治疗和运动科学，学生不仅学习现代医学的理论，还接触到结合技术手段的物理治疗方法。学校的物理治疗课程强调最新的康复技术，包括激光治疗、超声波疗法等。阿尔里亚达科技大学通过先进的教育设施和科研合作，培养了大量具备现代化治疗手段的物理治疗专业人才。</t>
        </is>
      </c>
      <c r="I294"/>
      <c r="J294"/>
      <c r="K294"/>
      <c r="L294" s="2" t="str">
        <f>=HYPERLINK("mailto:info@rst.edu.eg", "info@rst.edu.eg")</f>
        <v>info@rst.edu.eg</v>
      </c>
      <c r="M294"/>
      <c r="N294" s="3">
        <v>46026</v>
      </c>
      <c r="O294" t="inlineStr">
        <is>
          <t>已联系未回复</t>
        </is>
      </c>
      <c r="P294"/>
      <c r="Q294" t="inlineStr">
        <is>
          <t>静安卫健委-埃及土耳其</t>
        </is>
      </c>
      <c r="R294"/>
      <c r="S294"/>
      <c r="T294"/>
    </row>
    <row r="295" ht="25.5" customHeight="1">
      <c r="A295" t="inlineStr">
        <is>
          <t>开罗巴德尔大学（Badr University in Cairo）</t>
        </is>
      </c>
      <c r="B295" t="inlineStr">
        <is>
          <t>埃及</t>
        </is>
      </c>
      <c r="C295" t="inlineStr">
        <is>
          <t>开罗</t>
        </is>
      </c>
      <c r="D295" t="inlineStr">
        <is>
          <t>高校</t>
        </is>
      </c>
      <c r="E295" t="inlineStr">
        <is>
          <t>医疗行业</t>
        </is>
      </c>
      <c r="F295" t="inlineStr">
        <is>
          <t>开罗，巴德尔市，娱乐区，邮政编码，埃及</t>
        </is>
      </c>
      <c r="G295" s="2" t="str">
        <f>=HYPERLINK("https://buc.edu.eg/#", "https://buc.edu.eg/#")</f>
        <v>https://buc.edu.eg/#</v>
      </c>
      <c r="H295" t="inlineStr">
        <is>
          <t>Badr University in Cairo，BUC是一所私立大学，位于开罗，致力于为学生提供现代医学和健康科学的教育。大学的物理治疗学院在国内外享有良好声誉，专注于为学生提供包括临床经验和科学研究的综合教育。该校的物理治疗专业课程涉及多种治疗方法，包括传统手法治疗、康复技术以及最新的治疗设备使用，学生将接受严格的临床训练，确保他们毕业后能在各种医疗环境中应对复杂的治疗需求。</t>
        </is>
      </c>
      <c r="I295"/>
      <c r="J295"/>
      <c r="K295"/>
      <c r="L295" s="2" t="str">
        <f>=HYPERLINK("mailto:info@buc.edu.eg", "info@buc.edu.eg")</f>
        <v>info@buc.edu.eg</v>
      </c>
      <c r="M295"/>
      <c r="N295" s="3">
        <v>46026</v>
      </c>
      <c r="O295" t="inlineStr">
        <is>
          <t>触达</t>
        </is>
      </c>
      <c r="P295" t="inlineStr">
        <is>
          <t>回复邮件转介至物理治疗学院，需要等待回复</t>
        </is>
      </c>
      <c r="Q295" t="inlineStr">
        <is>
          <t>静安卫健委-埃及土耳其</t>
        </is>
      </c>
      <c r="R295"/>
      <c r="S295"/>
      <c r="T295"/>
    </row>
    <row r="296" ht="25.5" customHeight="1">
      <c r="A296" t="inlineStr">
        <is>
          <t>西奈大学（Sinai University）</t>
        </is>
      </c>
      <c r="B296" t="inlineStr">
        <is>
          <t>埃及</t>
        </is>
      </c>
      <c r="C296" t="inlineStr">
        <is>
          <t>西奈</t>
        </is>
      </c>
      <c r="D296" t="inlineStr">
        <is>
          <t>高校</t>
        </is>
      </c>
      <c r="E296" t="inlineStr">
        <is>
          <t>医疗行业</t>
        </is>
      </c>
      <c r="F296" t="inlineStr">
        <is>
          <t>阿里什校区：北西奈省第三阿里什，邮政编码16020，埃及；卡塔拉校区：伊斯梅利亚省，El Qantara El Sharqiya，邮政编码8392130，埃及</t>
        </is>
      </c>
      <c r="G296" s="2" t="str">
        <f>=HYPERLINK("https://su.edu.eg/", "https://su.edu.eg/")</f>
        <v>https://su.edu.eg/</v>
      </c>
      <c r="H296" t="inlineStr">
        <is>
          <t>Sinai University位于埃及的西奈半岛，是一所以实践和创新为导向的高等院校。西奈大学的物理治疗专业非常注重学生的临床实习，旨在培养能应对现代医学挑战的治疗人才。该校的物理治疗学科不仅涵盖了常见的运动医学、老年康复和神经康复等课程，还着力发展新的治疗技术，如虚拟现实疗法和生物反馈治疗等创新手段。西奈大学通过与国际医学研究机构的合作，为学生提供了广泛的学习机会，确保他们在全球化的医疗环境中具备竞争力。</t>
        </is>
      </c>
      <c r="I296"/>
      <c r="J296"/>
      <c r="K296"/>
      <c r="L296" s="2" t="str">
        <f>=HYPERLINK("mailto:Info@su.edu.eg", "Info@su.edu.egsupport.moodle@su.edu.eg")</f>
        <v>Info@su.edu.egsupport.moodle@su.edu.eg</v>
      </c>
      <c r="M296"/>
      <c r="N296" s="3">
        <v>46026</v>
      </c>
      <c r="O296" t="inlineStr">
        <is>
          <t>已联系未回复</t>
        </is>
      </c>
      <c r="P296"/>
      <c r="Q296" t="inlineStr">
        <is>
          <t>静安卫健委-埃及土耳其</t>
        </is>
      </c>
      <c r="R296"/>
      <c r="S296"/>
      <c r="T296"/>
    </row>
    <row r="297" ht="25.5" customHeight="1">
      <c r="A297" t="inlineStr">
        <is>
          <t>雅恩中医自然健康中心（YaaEn Chinese Natural Health Center）</t>
        </is>
      </c>
      <c r="B297" t="inlineStr">
        <is>
          <t>埃及</t>
        </is>
      </c>
      <c r="C297" t="inlineStr">
        <is>
          <t>开罗</t>
        </is>
      </c>
      <c r="D297" t="inlineStr">
        <is>
          <t>医疗中心</t>
        </is>
      </c>
      <c r="E297" t="inlineStr">
        <is>
          <t>医疗行业</t>
        </is>
      </c>
      <c r="F297" t="inlineStr">
        <is>
          <t>埃及开罗省纳斯尔城</t>
        </is>
      </c>
      <c r="G297" s="2" t="str">
        <f>=HYPERLINK("https://www.facebook.com/MagicDDS", "https://www.facebook.com/MagicDDS")</f>
        <v>https://www.facebook.com/MagicDDS</v>
      </c>
      <c r="H297" t="inlineStr">
        <is>
          <t>YaaEn Chinese Natural Health Center是一家专注于中医传统疗法与现代健康管理结合的专业治疗中心。中心致力于通过针灸、推拿、拔罐、刮痧、草药疗法等多种中医方法，帮助客户改善身体健康、调节体质、缓解慢性病和压力管理。雅恩中心提供个性化的健康管理方案，通过一对一的咨询和治疗，结合中医的整体调理理念，帮助患者恢复身体平衡与健康。该中心的中医师团队拥有丰富的临床经验，且所有治疗方法均根据患者的具体情况量身定制。通过整合中医的自然疗法，雅恩中医自然健康中心致力于让每一位客户在现代快节奏生活中找到身心的平衡，享受高质量的健康生活。</t>
        </is>
      </c>
      <c r="I297"/>
      <c r="J297"/>
      <c r="K297"/>
      <c r="L297" s="2" t="str">
        <f>=HYPERLINK("mailto:hanfatima20@gmail.com", "hanfatima20@gmail.com")</f>
        <v>hanfatima20@gmail.com</v>
      </c>
      <c r="M297" t="inlineStr">
        <is>
          <t>WhatsApp：+20 10 61053333</t>
        </is>
      </c>
      <c r="N297" s="3">
        <v>46026</v>
      </c>
      <c r="O297" t="inlineStr">
        <is>
          <t>已联系已回复</t>
        </is>
      </c>
      <c r="P297" t="inlineStr">
        <is>
          <t>需要准确的信息，但是项目还没有明确确定</t>
        </is>
      </c>
      <c r="Q297" t="inlineStr">
        <is>
          <t>静安卫健委-埃及土耳其</t>
        </is>
      </c>
      <c r="R297"/>
      <c r="S297" t="inlineStr">
        <is>
          <t>合作方向：
1. 中医药文化体验与交流参访：组织对中医药及自然疗法感兴趣的国际友人、健康行业从业者或相关文化代表团到访中心，进行沉浸式体验与文化交流。
2. 中医特色疗法培训与工作坊：面向海外（如欧洲、北美）的理疗师、自然疗法师或健康爱好者，开设针灸、推拿、中药膳食、太极/气功等短期认证或体验课程。
3. 中西医结合健康管理项目合作：与当地医疗机构或健康中心合作，设计并提供以中医药为特色的综合健康管理、慢病调理或术后康复套餐。
4. 中医药产品与自然疗法推广：在海外市场推广经认证的中医药产品（如药食同源产品、外用制剂）及相关的自然健康理念与服务。
5. 建立海外中医健康服务点或合作中心：探索在医疗政策允许的地区，以合作或授权模式设立服务点，提供中医咨询与基础治疗服务。
合作领域：
核心领域：中医诊疗技术（针灸、推拿）、中药养生、传统养生功法（太极、气功）。
特色领域：中西医结合慢病管理、亚健康调理、中医药文化教育。
合作特点：合作围绕 “中医药文化的国际化、服务化与产品化” 展开，强调体验、教育与实际健康效果。需高度适应海外当地的法律法规、文化认知和市场需求，合作模式灵活但专业合规要求高。</t>
        </is>
      </c>
      <c r="T297"/>
    </row>
    <row r="298" ht="25.5" customHeight="1">
      <c r="A298" t="inlineStr">
        <is>
          <t>健康理疗园（Wellness Medical Park）</t>
        </is>
      </c>
      <c r="B298" t="inlineStr">
        <is>
          <t>埃及</t>
        </is>
      </c>
      <c r="C298" t="inlineStr">
        <is>
          <t>开罗</t>
        </is>
      </c>
      <c r="D298" t="inlineStr">
        <is>
          <t>医疗中心</t>
        </is>
      </c>
      <c r="E298" t="inlineStr">
        <is>
          <t>医疗行业</t>
        </is>
      </c>
      <c r="F298" t="inlineStr">
        <is>
          <t>埃及开罗赫利奥波利斯市格伦塔街 15 号</t>
        </is>
      </c>
      <c r="G298" s="2" t="str">
        <f>=HYPERLINK("https://wellnessmedicalpark.org/en", "https://wellnessmedicalpark.org/en")</f>
        <v>https://wellnessmedicalpark.org/en</v>
      </c>
      <c r="H298" t="inlineStr">
        <is>
          <t>Wellness Medical Park是一家专注于提供全方位康复理疗服务的专业医疗机构，旨在通过现代医学与自然疗法的结合，帮助客户恢复身体健康、提高生活质量。健康理疗园不仅提供常规的物理治疗服务，如运动治疗、疼痛管理、运动损伤康复等，还引入了中医和自然疗法的元素，如中医针灸、推拿、按摩疗法等。这里的治疗项目覆盖了广泛的健康问题，包括慢性疼痛、关节疾病、肌肉紧张、失眠和压力管理等。健康理疗园通过创新的治疗手段和先进的医疗设备，为客户提供定制化的治疗方案，注重身心的全面调节，帮助每一位客户恢复健康，提升生活质量。</t>
        </is>
      </c>
      <c r="I298"/>
      <c r="J298"/>
      <c r="K298"/>
      <c r="L298" s="2" t="str">
        <f>=HYPERLINK("mailto:clinic@wellnessmedicalpark.com", "clinic@wellnessmedicalpark.com")</f>
        <v>clinic@wellnessmedicalpark.com</v>
      </c>
      <c r="M298" t="inlineStr">
        <is>
          <t>+20224543055
+201092272274</t>
        </is>
      </c>
      <c r="N298" s="3">
        <v>46026</v>
      </c>
      <c r="O298" t="inlineStr">
        <is>
          <t>已联系未回复</t>
        </is>
      </c>
      <c r="P298"/>
      <c r="Q298" t="inlineStr">
        <is>
          <t>静安卫健委-埃及土耳其</t>
        </is>
      </c>
      <c r="R298"/>
      <c r="S298"/>
      <c r="T298"/>
    </row>
    <row r="299" ht="25.5" customHeight="1">
      <c r="A299" t="inlineStr">
        <is>
          <t>伊斯坦布尔大学医院（Istanbul University Hospital）</t>
        </is>
      </c>
      <c r="B299" t="inlineStr">
        <is>
          <t>土耳其</t>
        </is>
      </c>
      <c r="C299" t="inlineStr">
        <is>
          <t>伊斯坦布尔</t>
        </is>
      </c>
      <c r="D299" t="inlineStr">
        <is>
          <t>大学附属医院</t>
        </is>
      </c>
      <c r="E299" t="inlineStr">
        <is>
          <t>医疗行业</t>
        </is>
      </c>
      <c r="F299" t="inlineStr">
        <is>
          <t>土耳其伊斯坦布尔法提赫区米列特街托普卡帕，邮编34093</t>
        </is>
      </c>
      <c r="G299" s="2" t="str">
        <f>=HYPERLINK("https://istanbultip.istanbul.edu.tr/en/_", "https://istanbultip.istanbul.edu.tr/en/_")</f>
        <v>https://istanbultip.istanbul.edu.tr/en/_</v>
      </c>
      <c r="H299" t="inlineStr">
        <is>
          <t>伊斯坦布尔大学医院隶属于伊斯坦布尔大学，是土耳其最具历史的大学附属医院之一，致力于医学教育、研究和临床医疗服务。医院提供广泛的医疗服务，包括专科诊疗、急救、外科手术和高端诊疗服务，尤其在心脏病学、肿瘤学、神经科学等领域具有深厚的医疗实力。医院不仅是学术研究的中心，还为土耳其及国际患者提供高水平的医疗服务。</t>
        </is>
      </c>
      <c r="I299"/>
      <c r="J299"/>
      <c r="K299"/>
      <c r="L299" s="2" t="str">
        <f>=HYPERLINK("mailto:itf-dekanlik@istanbul.edu.tr", "itf-dekanlik@istanbul.edu.tr/itffsekr@istanbul.edu.tr")</f>
        <v>itf-dekanlik@istanbul.edu.tr/itffsekr@istanbul.edu.tr</v>
      </c>
      <c r="M299" t="inlineStr">
        <is>
          <t>+90 2124142000</t>
        </is>
      </c>
      <c r="N299" s="3">
        <v>46026</v>
      </c>
      <c r="O299" t="inlineStr">
        <is>
          <t>已联系未回复</t>
        </is>
      </c>
      <c r="P299"/>
      <c r="Q299" t="inlineStr">
        <is>
          <t>静安卫健委-埃及土耳其</t>
        </is>
      </c>
      <c r="R299"/>
      <c r="S299"/>
      <c r="T299"/>
    </row>
    <row r="300" ht="25.5" customHeight="1">
      <c r="A300" t="inlineStr">
        <is>
          <t>阿齐巴德姆医疗集团（Acıbadem Healthcare Group）</t>
        </is>
      </c>
      <c r="B300" t="inlineStr">
        <is>
          <t>土耳其</t>
        </is>
      </c>
      <c r="C300" t="inlineStr">
        <is>
          <t>伊斯坦布尔</t>
        </is>
      </c>
      <c r="D300" t="inlineStr">
        <is>
          <t>医疗集团</t>
        </is>
      </c>
      <c r="E300" t="inlineStr">
        <is>
          <t>医疗行业</t>
        </is>
      </c>
      <c r="F300" t="inlineStr">
        <is>
          <t>土耳其伊斯坦布尔耶希尔柯伊伊斯坦布尔大街82号</t>
        </is>
      </c>
      <c r="G300" s="2" t="str">
        <f>=HYPERLINK("https://www.acibadem.com.tr/hastane/international-hastanesi/", "https://www.acibadem.com.tr/hastane/international-hastanesi/")</f>
        <v>https://www.acibadem.com.tr/hastane/international-hastanesi/</v>
      </c>
      <c r="H300" t="inlineStr">
        <is>
          <t>齐巴德姆医疗集团是土耳其最大的私立医疗集团之一，拥有遍布全国的多家医院和诊所。集团致力于提供全方位的医疗服务，涵盖从基础诊疗到高端手术和健康管理。阿齐巴德姆医疗集团在国际上也享有很高的声誉，吸引了大量国际患者前来治疗。医院特别在心脏病学、肿瘤学、神经外科等领域表现突出。</t>
        </is>
      </c>
      <c r="I300"/>
      <c r="J300"/>
      <c r="K300"/>
      <c r="L300" s="2" t="str">
        <f>=HYPERLINK("mailto:internationalinfo@acibadem.com.tr", "internationalinfo@acibadem.com.tr")</f>
        <v>internationalinfo@acibadem.com.tr</v>
      </c>
      <c r="M300" t="inlineStr">
        <is>
          <t>+90 212 468 4444</t>
        </is>
      </c>
      <c r="N300" s="3">
        <v>46026</v>
      </c>
      <c r="O300" t="inlineStr">
        <is>
          <t>已联系未回复</t>
        </is>
      </c>
      <c r="P300"/>
      <c r="Q300" t="inlineStr">
        <is>
          <t>静安卫健委-埃及土耳其</t>
        </is>
      </c>
      <c r="R300"/>
      <c r="S300"/>
      <c r="T300"/>
    </row>
    <row r="301" ht="25.5" customHeight="1">
      <c r="A301" t="inlineStr">
        <is>
          <t>土耳其医院（Turkey Hospital）</t>
        </is>
      </c>
      <c r="B301" t="inlineStr">
        <is>
          <t>土耳其</t>
        </is>
      </c>
      <c r="C301" t="inlineStr">
        <is>
          <t>伊斯坦布尔</t>
        </is>
      </c>
      <c r="D301" t="inlineStr">
        <is>
          <t>医院</t>
        </is>
      </c>
      <c r="E301" t="inlineStr">
        <is>
          <t>医疗行业</t>
        </is>
      </c>
      <c r="F301" t="inlineStr">
        <is>
          <t>土耳其伊斯坦布尔希什利区达鲁拉杰泽街中心段14/1号，邮编34381</t>
        </is>
      </c>
      <c r="G301" s="2" t="str">
        <f>=HYPERLINK("https://www.turkiyehastanesi.com/", "https://www.turkiyehastanesi.com/")</f>
        <v>https://www.turkiyehastanesi.com/</v>
      </c>
      <c r="H301" t="inlineStr">
        <is>
          <t>土耳其医院是一家提供全面医疗服务的私立医院，位于伊斯坦布尔，致力于为患者提供高质量的医疗体验。医院采用先进的医疗技术和设备，擅长处理急诊、外科手术、康复治疗等领域。其医疗团队由经验丰富的医生和护理人员组成，提供个性化的治疗方案，服务本地和国际患者。</t>
        </is>
      </c>
      <c r="I301"/>
      <c r="J301"/>
      <c r="K301"/>
      <c r="L301" s="2" t="str">
        <f>=HYPERLINK("mailto:info@turkiyehastanesi.com", "info@turkiyehastanesi.com")</f>
        <v>info@turkiyehastanesi.com</v>
      </c>
      <c r="M301" t="inlineStr">
        <is>
          <t>+90 (212) 314-1414</t>
        </is>
      </c>
      <c r="N301" s="3">
        <v>46026</v>
      </c>
      <c r="O301" t="inlineStr">
        <is>
          <t>已联系未回复</t>
        </is>
      </c>
      <c r="P301"/>
      <c r="Q301" t="inlineStr">
        <is>
          <t>静安卫健委-埃及土耳其</t>
        </is>
      </c>
      <c r="R301"/>
      <c r="S301"/>
      <c r="T301"/>
    </row>
    <row r="302" ht="25.5" customHeight="1">
      <c r="A302" t="inlineStr">
        <is>
          <t>阿维森纳国际医院（Avicenna International Hospital）</t>
        </is>
      </c>
      <c r="B302" t="inlineStr">
        <is>
          <t>土耳其</t>
        </is>
      </c>
      <c r="C302" t="inlineStr">
        <is>
          <t>伊斯坦布尔</t>
        </is>
      </c>
      <c r="D302" t="inlineStr">
        <is>
          <t>医院</t>
        </is>
      </c>
      <c r="E302" t="inlineStr">
        <is>
          <t>医疗行业</t>
        </is>
      </c>
      <c r="F302" t="inlineStr">
        <is>
          <t>土耳其伊斯坦布尔阿塔希尔区屈屈克巴卡柯伊马哈拉凯什达厄街47号，邮编34750土耳其伊斯坦布尔卡尔塔尔石油工业马哈拉斯屈达尔大道45号，邮编34862</t>
        </is>
      </c>
      <c r="G302" s="2" t="str">
        <f>=HYPERLINK("https://avicennaint.com/", "https://avicennaint.com/")</f>
        <v>https://avicennaint.com/</v>
      </c>
      <c r="H302" t="inlineStr">
        <is>
          <t>阿维森纳阿塔谢希尔医院是土耳其知名的综合性医院，隶属于阿维森纳医疗集团。医院位于伊斯坦布尔的阿塔谢希尔区，提供包括内科、外科、妇产科、神经科、肿瘤科等在内的多项医疗服务。医院配备了先进的医疗设备和技术，并以其国际化的医疗服务吸引了大量海外患者。阿维森纳希望医院是阿维森纳医疗集团的一家分院，位于伊斯坦布尔的卡尔塔尔区。医院专注于提供高质量的综合医疗服务，特别在康复治疗和精神健康方面具有优势。医院为患者提供个性化的治疗方案，并提供高端的国际医疗服务。</t>
        </is>
      </c>
      <c r="I302"/>
      <c r="J302"/>
      <c r="K302"/>
      <c r="L302" s="2" t="str">
        <f>=HYPERLINK("http://阿维森纳阿塔谢希尔医院：info@avicennain.com阿维森纳希望医院：info@umut.com.tr", "阿维森纳阿塔谢希尔医院：info@avicennain.com阿维森纳希望医院：info@umut.com.tr")</f>
        <v>阿维森纳阿塔谢希尔医院：info@avicennain.com阿维森纳希望医院：info@umut.com.tr</v>
      </c>
      <c r="M302" t="inlineStr">
        <is>
          <t>0216 574 10 00
0216 911 91 91</t>
        </is>
      </c>
      <c r="N302" s="3">
        <v>46026</v>
      </c>
      <c r="O302" t="inlineStr">
        <is>
          <t>已联系未回复</t>
        </is>
      </c>
      <c r="P302"/>
      <c r="Q302" t="inlineStr">
        <is>
          <t>静安卫健委-埃及土耳其</t>
        </is>
      </c>
      <c r="R302"/>
      <c r="S302"/>
      <c r="T302"/>
    </row>
    <row r="303" ht="25.5" customHeight="1">
      <c r="A303" t="inlineStr">
        <is>
          <t>艾尔登医院（Erdem Hospital）</t>
        </is>
      </c>
      <c r="B303" t="inlineStr">
        <is>
          <t>土耳其</t>
        </is>
      </c>
      <c r="C303" t="inlineStr">
        <is>
          <t>伊斯坦布尔</t>
        </is>
      </c>
      <c r="D303" t="inlineStr">
        <is>
          <t>医院</t>
        </is>
      </c>
      <c r="E303" t="inlineStr">
        <is>
          <t>医疗行业</t>
        </is>
      </c>
      <c r="F303" t="inlineStr">
        <is>
          <t>土耳其伊斯坦布尔于斯屈达尔布尔哈尼耶马哈拉纳杰汗街4/A号D座1室，邮编34676</t>
        </is>
      </c>
      <c r="G303" s="2" t="str">
        <f>=HYPERLINK("https://erdemhospital.com/", "https://erdemhospital.com/")</f>
        <v>https://erdemhospital.com/</v>
      </c>
      <c r="H303" t="inlineStr">
        <is>
          <t>艾尔登医院位于伊斯坦布尔，是一家以提供优质医疗服务和患者护理为核心的私立医院。医院拥有先进的医疗技术设备，提供全科和专科诊疗服务，涵盖从日常健康检查到复杂手术的各个领域。艾尔登医院致力于通过个性化的治疗方案和高效的医疗服务满足患者的需求。</t>
        </is>
      </c>
      <c r="I303"/>
      <c r="J303"/>
      <c r="K303"/>
      <c r="L303" s="2" t="str">
        <f>=HYPERLINK("mailto:info@erdemhospital.com", "info@erdemhospital.com")</f>
        <v>info@erdemhospital.com</v>
      </c>
      <c r="M303" t="inlineStr">
        <is>
          <t>+90 541 339 97 23</t>
        </is>
      </c>
      <c r="N303" s="3">
        <v>46026</v>
      </c>
      <c r="O303" t="inlineStr">
        <is>
          <t>已联系未回复</t>
        </is>
      </c>
      <c r="P303"/>
      <c r="Q303" t="inlineStr">
        <is>
          <t>静安卫健委-埃及土耳其</t>
        </is>
      </c>
      <c r="R303"/>
      <c r="S303"/>
      <c r="T303"/>
    </row>
    <row r="304" ht="25.5" customHeight="1">
      <c r="A304" t="inlineStr">
        <is>
          <t>纪念医疗集团（Memorial Healthcare Group）</t>
        </is>
      </c>
      <c r="B304" t="inlineStr">
        <is>
          <t>土耳其</t>
        </is>
      </c>
      <c r="C304" t="inlineStr">
        <is>
          <t>伊斯坦布尔</t>
        </is>
      </c>
      <c r="D304" t="inlineStr">
        <is>
          <t>医疗集团</t>
        </is>
      </c>
      <c r="E304" t="inlineStr">
        <is>
          <t>医疗行业</t>
        </is>
      </c>
      <c r="F304" t="inlineStr">
        <is>
          <t>土耳其伊斯坦布尔于斯屈达尔布尔哈尼耶马哈拉纳杰汗街4/A号D座1室，邮编34676</t>
        </is>
      </c>
      <c r="G304" s="2" t="str">
        <f>=HYPERLINK("https://memorialhospitalsgroup.com/", "https://memorialhospitalsgroup.com/")</f>
        <v>https://memorialhospitalsgroup.com/</v>
      </c>
      <c r="H304" t="inlineStr">
        <is>
          <t>纪念医疗集团是土耳其领先的私立医院集团之一，致力于为患者提供最先进的医疗服务。集团在伊斯坦布尔及其他主要城市运营多家医院，提供广泛的医疗服务，特别在癌症治疗、心脏病学、整形外科等领域具有领先地位。集团还为国际患者提供医疗旅游服务，吸引了大量来自世界各地的患者。</t>
        </is>
      </c>
      <c r="I304"/>
      <c r="J304"/>
      <c r="K304"/>
      <c r="L304" s="2" t="str">
        <f>=HYPERLINK("mailto:internationalpatients@memorial.com.tr", "internationalpatients@memorial.com.tr")</f>
        <v>internationalpatients@memorial.com.tr</v>
      </c>
      <c r="M304" t="inlineStr">
        <is>
          <t>+908505499554</t>
        </is>
      </c>
      <c r="N304" s="3">
        <v>46026</v>
      </c>
      <c r="O304" t="inlineStr">
        <is>
          <t>已联系未回复</t>
        </is>
      </c>
      <c r="P304"/>
      <c r="Q304" t="inlineStr">
        <is>
          <t>静安卫健委-埃及土耳其</t>
        </is>
      </c>
      <c r="R304"/>
      <c r="S304"/>
      <c r="T304"/>
    </row>
    <row r="305" ht="25.5" customHeight="1">
      <c r="A305" t="inlineStr">
        <is>
          <t>Turkey Healthcare Group/土耳其医疗集团</t>
        </is>
      </c>
      <c r="B305" t="inlineStr">
        <is>
          <t>土耳其</t>
        </is>
      </c>
      <c r="C305" t="inlineStr">
        <is>
          <t>伊斯坦布尔</t>
        </is>
      </c>
      <c r="D305" t="inlineStr">
        <is>
          <t>医疗集团</t>
        </is>
      </c>
      <c r="E305" t="inlineStr">
        <is>
          <t>医疗行业</t>
        </is>
      </c>
      <c r="F305" t="inlineStr">
        <is>
          <t>土耳其伊斯坦布尔加济奥斯曼帕夏区楚库尔切什梅街中心段57号D座59室，邮编34250</t>
        </is>
      </c>
      <c r="G305" s="2" t="str">
        <f>=HYPERLINK("https://www.turkeyhealthcaregroup.com/", "https://www.turkeyhealthcaregroup.com/")</f>
        <v>https://www.turkeyhealthcaregroup.com/</v>
      </c>
      <c r="H305" t="inlineStr">
        <is>
          <t>土耳其医疗集团是一家涵盖多个医院和诊所的大型医疗集团，专注于为国际患者提供一站式医疗服务。集团的医院遍布土耳其多个城市，提供包括癌症治疗、心脏外科、整形外科等在内的专科医疗服务。集团在医疗技术和服务质量方面具有强大的竞争力，是土耳其医疗旅游的主要参与者之一。</t>
        </is>
      </c>
      <c r="I305"/>
      <c r="J305"/>
      <c r="K305"/>
      <c r="L305" s="2" t="str">
        <f>=HYPERLINK("mailto:info@turkeyhealthcaregroup.com", "info@turkeyhealthcaregroup.com")</f>
        <v>info@turkeyhealthcaregroup.com</v>
      </c>
      <c r="M305" t="inlineStr">
        <is>
          <t>00902128717397</t>
        </is>
      </c>
      <c r="N305" s="3">
        <v>46026</v>
      </c>
      <c r="O305" t="inlineStr">
        <is>
          <t>已联系未回复</t>
        </is>
      </c>
      <c r="P305"/>
      <c r="Q305" t="inlineStr">
        <is>
          <t>静安卫健委-埃及土耳其</t>
        </is>
      </c>
      <c r="R305"/>
      <c r="S305"/>
      <c r="T305"/>
    </row>
    <row r="306" ht="25.5" customHeight="1">
      <c r="A306" t="inlineStr">
        <is>
          <t>利夫医院集团（Liv Hospital Group）</t>
        </is>
      </c>
      <c r="B306" t="inlineStr">
        <is>
          <t>土耳其</t>
        </is>
      </c>
      <c r="C306" t="inlineStr">
        <is>
          <t>伊斯坦布尔</t>
        </is>
      </c>
      <c r="D306" t="inlineStr">
        <is>
          <t>医疗集团</t>
        </is>
      </c>
      <c r="E306" t="inlineStr">
        <is>
          <t>医疗行业</t>
        </is>
      </c>
      <c r="F306" t="inlineStr">
        <is>
          <t>土耳其伊斯坦布尔贝西克塔斯区艾哈迈德·阿德南·萨伊贡大街恰南街5号，邮编34340</t>
        </is>
      </c>
      <c r="G306" s="2" t="str">
        <f>=HYPERLINK("https://www.livhospital.com/en", "https://www.livhospital.com/en")</f>
        <v>https://www.livhospital.com/en</v>
      </c>
      <c r="H306" t="inlineStr">
        <is>
          <t>利夫医院集团是一家提供综合性医疗服务的私立医院集团，特别在肿瘤学、心脏外科、神经外科等领域具有较强的专业能力。集团在伊斯坦布尔的多个区域设有医院，并且为国际患者提供医疗服务。医院配备先进的医疗设备和技术，致力于提供个性化、高质量的医疗服务。</t>
        </is>
      </c>
      <c r="I306"/>
      <c r="J306"/>
      <c r="K306"/>
      <c r="L306" s="2"/>
      <c r="M306" t="inlineStr">
        <is>
          <t>电话：
+90 444 45 48
WhatsApp：+90 530 174 33 92</t>
        </is>
      </c>
      <c r="N306" s="3">
        <v>46026</v>
      </c>
      <c r="O306" t="inlineStr">
        <is>
          <t>已联系未回复</t>
        </is>
      </c>
      <c r="P306"/>
      <c r="Q306" t="inlineStr">
        <is>
          <t>静安卫健委-埃及土耳其</t>
        </is>
      </c>
      <c r="R306"/>
      <c r="S306"/>
      <c r="T306"/>
    </row>
    <row r="307" ht="25.5" customHeight="1">
      <c r="A307" t="inlineStr">
        <is>
          <t>医疗公园集团（Medical Park Health Group）</t>
        </is>
      </c>
      <c r="B307" t="inlineStr">
        <is>
          <t>土耳其</t>
        </is>
      </c>
      <c r="C307" t="inlineStr">
        <is>
          <t>伊斯坦布尔</t>
        </is>
      </c>
      <c r="D307" t="inlineStr">
        <is>
          <t>医疗集团</t>
        </is>
      </c>
      <c r="E307" t="inlineStr">
        <is>
          <t>医疗行业</t>
        </is>
      </c>
      <c r="F307" t="inlineStr">
        <is>
          <t>土耳其伊斯坦布尔市加济奥斯曼帕夏区楚库尔切什梅街57号，邮编34250</t>
        </is>
      </c>
      <c r="G307" s="2" t="str">
        <f>=HYPERLINK("https://www.medicalpark.com.tr/", "www.medicalpark.com.tr")</f>
        <v>www.medicalpark.com.tr</v>
      </c>
      <c r="H307" t="inlineStr">
        <is>
          <t>医疗公园集团是土耳其最大的医疗服务提供商之一，拥有众多分院，覆盖全国范围。集团提供从基本医疗到复杂手术的全方位医疗服务，尤其在癌症治疗、心脏病学等领域有很强的优势。医院还为国际患者提供高质量的医疗旅游服务。</t>
        </is>
      </c>
      <c r="I307"/>
      <c r="J307"/>
      <c r="K307"/>
      <c r="L307" s="2"/>
      <c r="M307"/>
      <c r="N307" s="3">
        <v>46026</v>
      </c>
      <c r="O307" t="inlineStr">
        <is>
          <t>已联系未回复</t>
        </is>
      </c>
      <c r="P307"/>
      <c r="Q307" t="inlineStr">
        <is>
          <t>静安卫健委-埃及土耳其</t>
        </is>
      </c>
      <c r="R307"/>
      <c r="S307"/>
      <c r="T307"/>
    </row>
    <row r="308" ht="25.5" customHeight="1">
      <c r="A308" t="inlineStr">
        <is>
          <t>埃姆赛医院（Emsey Hospital ）</t>
        </is>
      </c>
      <c r="B308" t="inlineStr">
        <is>
          <t>土耳其</t>
        </is>
      </c>
      <c r="C308" t="inlineStr">
        <is>
          <t>伊斯坦布尔</t>
        </is>
      </c>
      <c r="D308" t="inlineStr">
        <is>
          <t>医院</t>
        </is>
      </c>
      <c r="E308" t="inlineStr">
        <is>
          <t>医疗行业</t>
        </is>
      </c>
      <c r="F308" t="inlineStr">
        <is>
          <t>土耳其伊斯坦布尔彭迪克恰姆勒克马哈拉斯尔丘克鲁大街22号</t>
        </is>
      </c>
      <c r="G308" s="2" t="str">
        <f>=HYPERLINK("https://www.emseyhospital.com.tr/en", "https://www.emseyhospital.com.tr/en")</f>
        <v>https://www.emseyhospital.com.tr/en</v>
      </c>
      <c r="H308" t="inlineStr">
        <is>
          <t>埃姆赛医院是一家现代化的私立医院，致力于为患者提供高质量的医疗服务。医院提供各种医疗服务，包括急诊、外科手术、内科治疗和康复等。医院还专注于为国际患者提供专门的医疗旅游服务。</t>
        </is>
      </c>
      <c r="I308"/>
      <c r="J308"/>
      <c r="K308"/>
      <c r="L308" s="2" t="str">
        <f>=HYPERLINK("mailto:info@emseyhospital.com", "info@emseyhospital.com")</f>
        <v>info@emseyhospital.com</v>
      </c>
      <c r="M308" t="inlineStr">
        <is>
          <t>电话：444 25 99 - 0850 811 25 99
WhatsApp：05521562599</t>
        </is>
      </c>
      <c r="N308" s="3">
        <v>46026</v>
      </c>
      <c r="O308" t="inlineStr">
        <is>
          <t>已联系未回复</t>
        </is>
      </c>
      <c r="P308"/>
      <c r="Q308" t="inlineStr">
        <is>
          <t>静安卫健委-埃及土耳其</t>
        </is>
      </c>
      <c r="R308"/>
      <c r="S308"/>
      <c r="T308"/>
    </row>
    <row r="309" ht="25.5" customHeight="1">
      <c r="A309" t="inlineStr">
        <is>
          <t>弗洛伦斯·南丁格尔医院集团（Florence Nightingale Hospitals Group）</t>
        </is>
      </c>
      <c r="B309" t="inlineStr">
        <is>
          <t>土耳其</t>
        </is>
      </c>
      <c r="C309" t="inlineStr">
        <is>
          <t>伊斯坦布尔</t>
        </is>
      </c>
      <c r="D309" t="inlineStr">
        <is>
          <t>医疗集团</t>
        </is>
      </c>
      <c r="E309" t="inlineStr">
        <is>
          <t>医疗行业</t>
        </is>
      </c>
      <c r="F309" t="inlineStr">
        <is>
          <t>土耳其伊斯坦布尔贝西克塔斯盖雷特佩，邮编34349</t>
        </is>
      </c>
      <c r="G309" s="2" t="str">
        <f>=HYPERLINK("https://groupflorence.com/en/", "https://groupflorence.com/en/")</f>
        <v>https://groupflorence.com/en/</v>
      </c>
      <c r="H309" t="inlineStr">
        <is>
          <t>弗洛伦斯·南丁格尔医院集团是土耳其历史悠久的医疗集团之一，提供综合性医疗服务，特别在癌症治疗、心脏病学等领域具有强大的实力。集团的医院分布在多个城市，致力于提供高质量的医疗服务，并专注于患者的个性化需求。</t>
        </is>
      </c>
      <c r="I309"/>
      <c r="J309"/>
      <c r="K309"/>
      <c r="L309" s="2" t="str">
        <f>=HYPERLINK("mailto:apply@florence.com.tr", "apply@florence.com.tr")</f>
        <v>apply@florence.com.tr</v>
      </c>
      <c r="M309"/>
      <c r="N309" s="3">
        <v>46026</v>
      </c>
      <c r="O309" t="inlineStr">
        <is>
          <t>已联系未回复</t>
        </is>
      </c>
      <c r="P309"/>
      <c r="Q309" t="inlineStr">
        <is>
          <t>静安卫健委-埃及土耳其</t>
        </is>
      </c>
      <c r="R309"/>
      <c r="S309"/>
      <c r="T309"/>
    </row>
    <row r="310" ht="25.5" customHeight="1">
      <c r="A310" t="inlineStr">
        <is>
          <t>阿纳多卢医学中心（Anadolu Medical Center）</t>
        </is>
      </c>
      <c r="B310" t="inlineStr">
        <is>
          <t>土耳其</t>
        </is>
      </c>
      <c r="C310" t="inlineStr">
        <is>
          <t>科贾埃利</t>
        </is>
      </c>
      <c r="D310" t="inlineStr">
        <is>
          <t>医疗集团</t>
        </is>
      </c>
      <c r="E310" t="inlineStr">
        <is>
          <t>医疗行业</t>
        </is>
      </c>
      <c r="F310" t="inlineStr">
        <is>
          <t>土耳其科贾埃利省盖布泽中心马哈拉，安纳多卢医疗中心，邮编41655</t>
        </is>
      </c>
      <c r="G310" s="2" t="str">
        <f>=HYPERLINK("https://www.anadolumedicalcenter.com/", "https://www.anadolumedicalcenter.com/")</f>
        <v>https://www.anadolumedicalcenter.com/</v>
      </c>
      <c r="H310" t="inlineStr">
        <is>
          <t>阿纳多卢医学中心是土耳其领先的医疗机构之一，专注于提供高质量的医疗服务，特别是在癌症治疗、心脏外科、神经外科等方面具有优势。医院采用现代化的技术和设备，致力于为国际患者提供世界级的医疗服务。</t>
        </is>
      </c>
      <c r="I310" t="inlineStr">
        <is>
          <t>Handan Isman Bese</t>
        </is>
      </c>
      <c r="J310" t="inlineStr">
        <is>
          <t>医疗经理
国际患者服务部</t>
        </is>
      </c>
      <c r="K310"/>
      <c r="L310" s="2" t="str">
        <f>=HYPERLINK("mailto:asmwebform@anadolusaglik.org", "asmwebform@anadolusaglik.org")</f>
        <v>asmwebform@anadolusaglik.org</v>
      </c>
      <c r="M310" t="inlineStr">
        <is>
          <t xml:space="preserve">+90 216 524 13 00 </t>
        </is>
      </c>
      <c r="N310" s="3">
        <v>46026</v>
      </c>
      <c r="O310" t="inlineStr">
        <is>
          <t>已联系已回复</t>
        </is>
      </c>
      <c r="P310" t="inlineStr">
        <is>
          <t>需要进一步邮件沟通详细信息再评估这次访问-需要明确的信息-但是此项目还没有明确定下来</t>
        </is>
      </c>
      <c r="Q310" t="inlineStr">
        <is>
          <t>静安卫健委-埃及土耳其</t>
        </is>
      </c>
      <c r="R310"/>
      <c r="S310" t="inlineStr">
        <is>
          <t>合作方向：
1. 高级别医疗代表团专业参访：组织中国医院管理层、重点科室主任及卫生行政部门代表赴该中心，进行深度学术交流、医院管理观摩及临床技术考察。
2. 肿瘤学专项研修与培训：选派中国肿瘤相关领域的医生、护士及技师赴该中心，进行短期或中期的临床观摩、技能培训及多学科诊疗（MDT）模式学习。
3. 远程医疗与第二诊疗意见合作：建立国际远程会诊通道，为中国患者提供尤其是在复杂肿瘤病例等方面的国际权威第二诊疗意见服务。
4. 医院管理与JCI认证咨询：学习其基于约翰·霍普金斯标准的医院管理体系、国际患者服务流程及医疗质量与安全控制经验。
5. 健康管理与预防医学项目引进：探讨将其先进的健康检查（Health Check-Up）体系、预防医学项目及后续健康管理方案引入中国市场。
合作领域：
核心领域：肿瘤综合治疗（内科肿瘤学、放射肿瘤学）、高端健康管理与预防医学、国际患者服务。
特色领域：多学科协作（MDT）诊疗模式、医院国际化认证与管理、特定外科专科（如泌尿外科、骨科、妇产科）。
合作特点：合作建立在 “临床医学卓越、国际标准、以患者为中心” 的顶级医疗平台之上。专业门槛高，信任建立周期长，但合作价值巨大，尤其在疑难重症诊疗、医院管理提升和医护人员顶尖培训方面。</t>
        </is>
      </c>
      <c r="T310"/>
    </row>
    <row r="311" ht="25.5" customHeight="1">
      <c r="A311" t="inlineStr">
        <is>
          <t>Hospital西萨尔洲际医院（Hisar Intercontinental ）</t>
        </is>
      </c>
      <c r="B311" t="inlineStr">
        <is>
          <t>土耳其</t>
        </is>
      </c>
      <c r="C311" t="inlineStr">
        <is>
          <t>伊斯坦布尔</t>
        </is>
      </c>
      <c r="D311" t="inlineStr">
        <is>
          <t>医院</t>
        </is>
      </c>
      <c r="E311" t="inlineStr">
        <is>
          <t>医疗行业</t>
        </is>
      </c>
      <c r="F311" t="inlineStr">
        <is>
          <t>土耳其伊斯坦布尔于姆拉尼耶亚马内夫莱尔马哈拉锡特约卢大街7号，邮编34768</t>
        </is>
      </c>
      <c r="G311" s="2" t="str">
        <f>=HYPERLINK("https://hisarhospital.com/en/", "https://hisarhospital.com/en/")</f>
        <v>https://hisarhospital.com/en/</v>
      </c>
      <c r="H311" t="inlineStr">
        <is>
          <t>西萨尔洲际医院是一家提供高质量医疗服务的私立医院，位于伊斯坦布尔的Ümraniye区。医院致力于为患者提供包括内科、外科、妇科、牙科等多领域的医疗服务，并特别注重为国际患者提供便捷的就医服务。医院的医疗设施和技术非常现代化，医疗团队由国内外经验丰富的医生组成。</t>
        </is>
      </c>
      <c r="I311"/>
      <c r="J311"/>
      <c r="K311"/>
      <c r="L311" s="2" t="str">
        <f>=HYPERLINK("mailto:international@hisarhospital.com", "international@hisarhospital.com")</f>
        <v>international@hisarhospital.com</v>
      </c>
      <c r="M311" t="inlineStr">
        <is>
          <t>902524177777</t>
        </is>
      </c>
      <c r="N311" s="3">
        <v>46026</v>
      </c>
      <c r="O311" t="inlineStr">
        <is>
          <t>已联系未回复</t>
        </is>
      </c>
      <c r="P311"/>
      <c r="Q311" t="inlineStr">
        <is>
          <t>静安卫健委-埃及土耳其</t>
        </is>
      </c>
      <c r="R311"/>
      <c r="S311"/>
      <c r="T311"/>
    </row>
    <row r="312" ht="25.5" customHeight="1">
      <c r="A312" t="inlineStr">
        <is>
          <t>阿胡医院（Ahu Hospital）</t>
        </is>
      </c>
      <c r="B312" t="inlineStr">
        <is>
          <t>土耳其</t>
        </is>
      </c>
      <c r="C312" t="inlineStr">
        <is>
          <t>穆拉</t>
        </is>
      </c>
      <c r="D312" t="inlineStr">
        <is>
          <t>医院</t>
        </is>
      </c>
      <c r="E312" t="inlineStr">
        <is>
          <t>医疗行业</t>
        </is>
      </c>
      <c r="F312" t="inlineStr">
        <is>
          <t>土耳其马尔马里斯吉尔德尔马哈拉167号街3号，邮编48700</t>
        </is>
      </c>
      <c r="G312" s="2" t="str">
        <f>=HYPERLINK("https://ahuhastanesi.com/", "https://ahuhastanesi.com/")</f>
        <v>https://ahuhastanesi.com/</v>
      </c>
      <c r="H312" t="inlineStr">
        <is>
          <t>阿胡医院是位于土耳其穆尔马里市的综合医院，专注于为患者提供高质量的医疗服务。医院提供广泛的医疗服务，包括急诊治疗、外科手术、健康检查、妇产科、眼科等多个领域。阿胡医院还致力于为国际患者提供医疗旅游服务，确保患者能够享受到全球标准的医疗体验。</t>
        </is>
      </c>
      <c r="I312"/>
      <c r="J312"/>
      <c r="K312"/>
      <c r="L312" s="2" t="str">
        <f>=HYPERLINK("mailto:info@ahuhastanesi.com", "info@ahuhastanesi.com")</f>
        <v>info@ahuhastanesi.com</v>
      </c>
      <c r="M312" t="inlineStr">
        <is>
          <t>+90 549 109 10 05</t>
        </is>
      </c>
      <c r="N312" s="3">
        <v>46026</v>
      </c>
      <c r="O312" t="inlineStr">
        <is>
          <t>已联系未回复</t>
        </is>
      </c>
      <c r="P312"/>
      <c r="Q312" t="inlineStr">
        <is>
          <t>静安卫健委-埃及土耳其</t>
        </is>
      </c>
      <c r="R312"/>
      <c r="S312"/>
      <c r="T312"/>
    </row>
    <row r="313" ht="25.5" customHeight="1">
      <c r="A313" t="inlineStr">
        <is>
          <t>ES诊所土耳其 | 卓越微笑诊所（ES Clinic Turkey | Excellent Smile Clinic）</t>
        </is>
      </c>
      <c r="B313" t="inlineStr">
        <is>
          <t>土耳其</t>
        </is>
      </c>
      <c r="C313" t="inlineStr">
        <is>
          <t>安塔利亚</t>
        </is>
      </c>
      <c r="D313" t="inlineStr">
        <is>
          <t>诊所</t>
        </is>
      </c>
      <c r="E313" t="inlineStr">
        <is>
          <t>医疗行业</t>
        </is>
      </c>
      <c r="F313" t="inlineStr">
        <is>
          <t>土耳其安塔利亚科尼亚阿尔特库什卡瓦厄马哈拉563号街2C号</t>
        </is>
      </c>
      <c r="G313" s="2" t="str">
        <f>=HYPERLINK("https://www.esclinicturkey.com/", "https://www.esclinicturkey.com/")</f>
        <v>https://www.esclinicturkey.com/</v>
      </c>
      <c r="H313" t="inlineStr">
        <is>
          <t>卓越微笑诊所（ES Clinic Turkey）是一家专注于口腔健康的牙科诊所，位于土耳其的安塔利亚。该诊所提供各种牙科服务，包括牙齿美白、牙齿修复、牙齿矫正等。诊所特别注重为国际患者提供高标准的牙科治疗，吸引了来自全球的患者前来治疗。</t>
        </is>
      </c>
      <c r="I313"/>
      <c r="J313"/>
      <c r="K313"/>
      <c r="L313" s="2" t="str">
        <f>=HYPERLINK("mailto:info@esclinicturkey.com", "info@esclinicturkey.com")</f>
        <v>info@esclinicturkey.com</v>
      </c>
      <c r="M313" t="inlineStr">
        <is>
          <t>+90 242 323 77 23  +90 540 297 11 11</t>
        </is>
      </c>
      <c r="N313" s="3">
        <v>46026</v>
      </c>
      <c r="O313" t="inlineStr">
        <is>
          <t>已联系未回复</t>
        </is>
      </c>
      <c r="P313"/>
      <c r="Q313" t="inlineStr">
        <is>
          <t>静安卫健委-埃及土耳其</t>
        </is>
      </c>
      <c r="R313"/>
      <c r="S313"/>
      <c r="T313"/>
    </row>
    <row r="314" ht="25.5" customHeight="1">
      <c r="A314" t="inlineStr">
        <is>
          <t>Dentalays 牙科诊所（土耳其）（Dentalays Clinic Turkey）</t>
        </is>
      </c>
      <c r="B314" t="inlineStr">
        <is>
          <t>土耳其</t>
        </is>
      </c>
      <c r="C314" t="inlineStr">
        <is>
          <t>安塔利亚</t>
        </is>
      </c>
      <c r="D314" t="inlineStr">
        <is>
          <t>诊所</t>
        </is>
      </c>
      <c r="E314" t="inlineStr">
        <is>
          <t>医疗行业</t>
        </is>
      </c>
      <c r="F314" t="inlineStr">
        <is>
          <t>土耳其安塔利亚拉拉恰厄拉扬马哈拉比伦特·埃杰维特大道102/D号</t>
        </is>
      </c>
      <c r="G314" s="2" t="str">
        <f>=HYPERLINK("https://dentalaysturkey.com/", "https://dentalaysturkey.com/")</f>
        <v>https://dentalaysturkey.com/</v>
      </c>
      <c r="H314" t="inlineStr">
        <is>
          <t>Dentalays Clinic Turkey 是一家提供高质量牙科服务的诊所，位于土耳其安塔利亚。该诊所提供全面的牙科治疗，包括牙齿美白、修复、根管治疗等。诊所采用国际先进的技术和设备，专为国际患者提供专业的牙科服务。</t>
        </is>
      </c>
      <c r="I314"/>
      <c r="J314"/>
      <c r="K314"/>
      <c r="L314" s="2" t="str">
        <f>=HYPERLINK("mailto:info@dentalaysturkey.com", "info@dentalaysturkey.com")</f>
        <v>info@dentalaysturkey.com</v>
      </c>
      <c r="M314" t="inlineStr">
        <is>
          <t>0850 250 8 250</t>
        </is>
      </c>
      <c r="N314" s="3">
        <v>46026</v>
      </c>
      <c r="O314" t="inlineStr">
        <is>
          <t>已联系未回复</t>
        </is>
      </c>
      <c r="P314"/>
      <c r="Q314" t="inlineStr">
        <is>
          <t>静安卫健委-埃及土耳其</t>
        </is>
      </c>
      <c r="R314"/>
      <c r="S314"/>
      <c r="T314"/>
    </row>
    <row r="315" ht="25.5" customHeight="1">
      <c r="A315" t="inlineStr">
        <is>
          <t>科奇大学医院（Koç Üniversitesi Hastanesi）</t>
        </is>
      </c>
      <c r="B315" t="inlineStr">
        <is>
          <t>土耳其</t>
        </is>
      </c>
      <c r="C315" t="inlineStr">
        <is>
          <t>伊斯坦布尔</t>
        </is>
      </c>
      <c r="D315" t="inlineStr">
        <is>
          <t>大学附属医院</t>
        </is>
      </c>
      <c r="E315" t="inlineStr">
        <is>
          <t>医疗行业</t>
        </is>
      </c>
      <c r="F315" t="inlineStr">
        <is>
          <t>土耳其伊斯坦布尔马尔特佩马哈拉达武特帕夏大街4号，托普卡帕，邮编34010</t>
        </is>
      </c>
      <c r="G315" s="2" t="str">
        <f>=HYPERLINK("https://www.kuh.ku.edu.tr/", "https://www.kuh.ku.edu.tr/")</f>
        <v>https://www.kuh.ku.edu.tr/</v>
      </c>
      <c r="H315" t="inlineStr">
        <is>
          <t>科奇大学医院是土耳其最顶尖的大学附属医院之一，隶属于科奇大学（Koç University）。医院为患者提供高质量的医疗服务，尤其在心脏病学、神经学、癌症治疗等方面具有强大的实力。医院不仅致力于临床医疗，还在医学研究和教育方面处于领先地位。</t>
        </is>
      </c>
      <c r="I315"/>
      <c r="J315"/>
      <c r="K315"/>
      <c r="L315" s="2" t="str">
        <f>=HYPERLINK("mailto:info@kuh.ku.edu.tr", "info@kuh.ku.edu.tr")</f>
        <v>info@kuh.ku.edu.tr</v>
      </c>
      <c r="M315" t="inlineStr">
        <is>
          <t>0 (312) 202 69</t>
        </is>
      </c>
      <c r="N315" s="3">
        <v>46026</v>
      </c>
      <c r="O315" t="inlineStr">
        <is>
          <t>已联系未回复</t>
        </is>
      </c>
      <c r="P315"/>
      <c r="Q315" t="inlineStr">
        <is>
          <t>静安卫健委-埃及土耳其</t>
        </is>
      </c>
      <c r="R315"/>
      <c r="S315"/>
      <c r="T315"/>
    </row>
    <row r="316" ht="25.5" customHeight="1">
      <c r="A316" t="inlineStr">
        <is>
          <t>加济大学（Gazi University ）</t>
        </is>
      </c>
      <c r="B316" t="inlineStr">
        <is>
          <t>土耳其</t>
        </is>
      </c>
      <c r="C316" t="inlineStr">
        <is>
          <t>安卡拉</t>
        </is>
      </c>
      <c r="D316" t="inlineStr">
        <is>
          <t>公立大学</t>
        </is>
      </c>
      <c r="E316" t="inlineStr">
        <is>
          <t>医疗行业</t>
        </is>
      </c>
      <c r="F316" t="inlineStr">
        <is>
          <t>土耳其安卡拉贝舍夫莱尔区加齐奥斯曼帕夏大道27号，加齐大学，邮编06500</t>
        </is>
      </c>
      <c r="G316" s="2" t="str">
        <f>=HYPERLINK("https://gazi.edu.tr/#", "https://gazi.edu.tr/#")</f>
        <v>https://gazi.edu.tr/#</v>
      </c>
      <c r="H316" t="inlineStr">
        <is>
          <t>Gazi University，成立于 1926年，位于土耳其的首都 安卡拉，是一所历史悠久的公立大学，享有卓越的教育声誉。该校提供广泛的学科课程，涵盖 工程学、医学、教育学、社会科学、艺术、法学 等领域。大学的教学和研究着重于培养具有创新精神和国际视野的人才。作为土耳其最重要的学术机构之一，Gazi University 在学术界、科研和社会贡献方面发挥着重要作用。大学拥有多个学术部门、先进的研究设施，并与世界各地的大学和研究机构保持紧密合作。</t>
        </is>
      </c>
      <c r="I316"/>
      <c r="J316"/>
      <c r="K316"/>
      <c r="L316" s="2" t="str">
        <f>=HYPERLINK("mailto:tipfakultesekreterligi@gazi.edu.tr", "tipfakultesekreterligi@gazi.edu.tr")</f>
        <v>tipfakultesekreterligi@gazi.edu.tr</v>
      </c>
      <c r="M316"/>
      <c r="N316" s="3">
        <v>46026</v>
      </c>
      <c r="O316" t="inlineStr">
        <is>
          <t>已联系未回复</t>
        </is>
      </c>
      <c r="P316"/>
      <c r="Q316" t="inlineStr">
        <is>
          <t>静安卫健委-埃及土耳其</t>
        </is>
      </c>
      <c r="R316"/>
      <c r="S316"/>
      <c r="T316"/>
    </row>
    <row r="317" ht="25.5" customHeight="1">
      <c r="A317" t="inlineStr">
        <is>
          <t>伊斯坦布尔梅德尼耶特大学（Istanbul Medeniyet University ）</t>
        </is>
      </c>
      <c r="B317" t="inlineStr">
        <is>
          <t>土耳其</t>
        </is>
      </c>
      <c r="C317" t="inlineStr">
        <is>
          <t>伊斯坦布尔</t>
        </is>
      </c>
      <c r="D317" t="inlineStr">
        <is>
          <t>公立大学</t>
        </is>
      </c>
      <c r="E317" t="inlineStr">
        <is>
          <t>医疗行业</t>
        </is>
      </c>
      <c r="F317" t="inlineStr">
        <is>
          <t>土耳其伊斯坦布尔卡德柯伊区4.莱文特，D-100高速公路，伊斯坦布尔文明大学</t>
        </is>
      </c>
      <c r="G317" s="2" t="str">
        <f>=HYPERLINK("https://www.medeniyet.edu.tr/en", "https://www.medeniyet.edu.tr/en")</f>
        <v>https://www.medeniyet.edu.tr/en</v>
      </c>
      <c r="H317" t="inlineStr">
        <is>
          <t>Istanbul Medeniyet University，成立于 2010年，是一所位于土耳其 伊斯坦布尔 的年轻公立大学，旨在为学生提供高质量的教育和科研机会。该大学强调 跨学科的合作，并致力于将现代科学与传统文化相结合，促进社会、经济和文化的全面发展。大学设有多个学科领域，包括 社会科学、医学、工程学、商学、艺术 等。作为一所发展迅速的大学，伊斯坦布尔梅德尼耶特大学在 土耳其 和国际上逐渐获得了广泛的认可，吸引了来自全球的学生和学者。</t>
        </is>
      </c>
      <c r="I317"/>
      <c r="J317" t="inlineStr">
        <is>
          <t>大学国际办公室</t>
        </is>
      </c>
      <c r="K317"/>
      <c r="L317" s="2" t="str">
        <f>=HYPERLINK("mailto:intero@medeniyet.edu.tr", "intero@medeniyet.edu.tr")</f>
        <v>intero@medeniyet.edu.tr</v>
      </c>
      <c r="M317"/>
      <c r="N317" s="3">
        <v>46026</v>
      </c>
      <c r="O317" t="inlineStr">
        <is>
          <t>已联系未回复</t>
        </is>
      </c>
      <c r="P317"/>
      <c r="Q317" t="inlineStr">
        <is>
          <t>静安卫健委-埃及土耳其</t>
        </is>
      </c>
      <c r="R317"/>
      <c r="S317"/>
      <c r="T317"/>
    </row>
    <row r="318" ht="25.5" customHeight="1">
      <c r="A318" t="inlineStr">
        <is>
          <t>苏莱曼·德米雷尔大学（Süleyman Demirel University ）</t>
        </is>
      </c>
      <c r="B318" t="inlineStr">
        <is>
          <t>土耳其</t>
        </is>
      </c>
      <c r="C318" t="inlineStr">
        <is>
          <t>伊斯帕塔</t>
        </is>
      </c>
      <c r="D318" t="inlineStr">
        <is>
          <t>公立大学</t>
        </is>
      </c>
      <c r="E318" t="inlineStr">
        <is>
          <t>医疗行业</t>
        </is>
      </c>
      <c r="F318" t="inlineStr">
        <is>
          <t>土耳其伊斯帕塔，苏莱曼德米雷尔大学，邮编32260</t>
        </is>
      </c>
      <c r="G318" s="2" t="str">
        <f>=HYPERLINK("https://international.sdu.edu.tr/", "https://international.sdu.edu.tr/")</f>
        <v>https://international.sdu.edu.tr/</v>
      </c>
      <c r="H318" t="inlineStr">
        <is>
          <t>Süleyman Demirel University，位于土耳其的 伊斯帕尔塔，成立于 1992年。这所大学以其创新的教学方法和高质量的学术研究而闻名，致力于为学生提供全方位的学术和职业发展机会。学校设有多个学院，包括 工程学、医学、艺术、教育学、商学 等，培养学生的 批判性思维、实践能力和国际视野。苏莱曼·德米雷尔大学注重与 工业界和国际学术界 的合作，提供丰富的实习机会和全球交流项目。其研究领域覆盖 科学、技术、文化和社会发展，并且有着强大的科研支持体系。</t>
        </is>
      </c>
      <c r="I318"/>
      <c r="J318" t="inlineStr">
        <is>
          <t>国际关系办公室</t>
        </is>
      </c>
      <c r="K318"/>
      <c r="L318" s="2" t="str">
        <f>=HYPERLINK("mailto:international@sdu.edu.tr", "international@sdu.edu.tr")</f>
        <v>international@sdu.edu.tr</v>
      </c>
      <c r="M318"/>
      <c r="N318" s="3">
        <v>46026</v>
      </c>
      <c r="O318" t="inlineStr">
        <is>
          <t>已联系未回复</t>
        </is>
      </c>
      <c r="P318"/>
      <c r="Q318" t="inlineStr">
        <is>
          <t>静安卫健委-埃及土耳其</t>
        </is>
      </c>
      <c r="R318"/>
      <c r="S318"/>
      <c r="T318"/>
    </row>
    <row r="319" ht="25.5" customHeight="1">
      <c r="A319" t="inlineStr">
        <is>
          <t>耶迪特佩大学（Yeditepe University ）</t>
        </is>
      </c>
      <c r="B319" t="inlineStr">
        <is>
          <t>土耳其</t>
        </is>
      </c>
      <c r="C319" t="inlineStr">
        <is>
          <t>伊斯坦布尔</t>
        </is>
      </c>
      <c r="D319" t="inlineStr">
        <is>
          <t>公立大学</t>
        </is>
      </c>
      <c r="E319" t="inlineStr">
        <is>
          <t>医疗行业</t>
        </is>
      </c>
      <c r="F319" t="inlineStr">
        <is>
          <t>土耳其伊斯坦布尔凯什达厄，耶迪特佩大学，邮编34755</t>
        </is>
      </c>
      <c r="G319" s="2" t="str">
        <f>=HYPERLINK("https://international.yeditepe.edu.tr/index.php/en", "https://international.yeditepe.edu.tr/index.php/en")</f>
        <v>https://international.yeditepe.edu.tr/index.php/en</v>
      </c>
      <c r="H319" t="inlineStr">
        <is>
          <t>Yeditepe University，成立于 1996年，是一所位于 伊斯坦布尔 的私立大学，提供美国式的教育体系。大学致力于培养具有 全球竞争力 的人才，涵盖多个学科，包括 商学、工程学、医学、社会科学、艺术 等。耶迪特佩大学注重 跨文化的教育与交流，通过多样化的课程设置和国际合作，帮助学生更好地适应全球化的工作环境。学校拥有现代化的校园设施、创新的教学方法和高度国际化的学术氛围，吸引了来自世界各地的学生。该大学在 教育质量、科研创新 和 社会责任 上一直表现出色，是土耳其最具声望的高等教育机构之一。</t>
        </is>
      </c>
      <c r="I319" t="inlineStr">
        <is>
          <t>ALTUNKULP ÇOBAN</t>
        </is>
      </c>
      <c r="J319" t="inlineStr">
        <is>
          <t>大学高级专员</t>
        </is>
      </c>
      <c r="K319"/>
      <c r="L319" s="2" t="str">
        <f>=HYPERLINK("mailto:hazal.altunkulp@yeditepe.edu.tr", "hazal.altunkulp@yeditepe.edu.tr")</f>
        <v>hazal.altunkulp@yeditepe.edu.tr</v>
      </c>
      <c r="M319"/>
      <c r="N319" s="3">
        <v>46026</v>
      </c>
      <c r="O319" t="inlineStr">
        <is>
          <t>已联系未回复</t>
        </is>
      </c>
      <c r="P319"/>
      <c r="Q319" t="inlineStr">
        <is>
          <t>静安卫健委-埃及土耳其</t>
        </is>
      </c>
      <c r="R319"/>
      <c r="S319"/>
      <c r="T319"/>
    </row>
    <row r="320" ht="25.5" customHeight="1">
      <c r="A320" t="inlineStr">
        <is>
          <t>诺尔诊所健康服务中心（NURPOLIKLINIK/）</t>
        </is>
      </c>
      <c r="B320" t="inlineStr">
        <is>
          <t>土耳其</t>
        </is>
      </c>
      <c r="C320" t="inlineStr">
        <is>
          <t>伊斯坦布尔</t>
        </is>
      </c>
      <c r="D320" t="inlineStr">
        <is>
          <t>医疗中心</t>
        </is>
      </c>
      <c r="E320" t="inlineStr">
        <is>
          <t>医疗行业</t>
        </is>
      </c>
      <c r="F320" t="inlineStr">
        <is>
          <t>土耳其伊斯坦布尔法提赫区费夫齐帕夏大街德尔维什阿里154号，邮编34087</t>
        </is>
      </c>
      <c r="G320" s="2" t="str">
        <f>=HYPERLINK("https://nurpoliklinik.com/en/", "https://nurpoliklinik.com/en/")</f>
        <v>https://nurpoliklinik.com/en/</v>
      </c>
      <c r="H320" t="inlineStr">
        <is>
          <t>Nurpoliklinik Sağlık Hizmetleri 是土耳其一家领先的医疗机构，专注于提供综合健康服务，包括物理治疗、康复治疗、疼痛管理、针灸以及心理健康支持等领域。该中心的医疗团队由经验丰富的专业人士组成，致力于通过个性化的治疗方案，帮助患者改善健康状况、缓解症状并恢复生活质量。Nurpoliklinik 结合了现代医学技术与传统治疗方法，尤其在运动损伤、神经系统疾病、慢性疼痛等方面具有卓越的疗效。凭借其先进的设备和全方位的治疗理念，Nurpoliklinik 成为土耳其地区知名的健康服务中心，吸引了众多寻求长期健康管理和康复的患者。该中心还与国际医疗机构保持密切合作，不断提升治疗标准，确保患者获得最佳的医疗体验。</t>
        </is>
      </c>
      <c r="I320"/>
      <c r="J320"/>
      <c r="K320"/>
      <c r="L320" s="2" t="str">
        <f>=HYPERLINK("mailto:dr.m.sari@gmail.com", "dr.m.sari@gmail.comdrsevalsari@gmail.com")</f>
        <v>dr.m.sari@gmail.comdrsevalsari@gmail.com</v>
      </c>
      <c r="M320" t="inlineStr">
        <is>
          <t>
电话：+90 (212) 635 03 13，+90 (212) 635 03 14
WhatsApp：+90 (549) 635 03 13 ； +90 (549) 635 03 13</t>
        </is>
      </c>
      <c r="N320" s="3">
        <v>46026</v>
      </c>
      <c r="O320" t="inlineStr">
        <is>
          <t>拒绝</t>
        </is>
      </c>
      <c r="P320"/>
      <c r="Q320" t="inlineStr">
        <is>
          <t>静安卫健委-埃及土耳其</t>
        </is>
      </c>
      <c r="R320"/>
      <c r="S320"/>
      <c r="T320"/>
    </row>
    <row r="321" ht="25.5" customHeight="1">
      <c r="A321" t="inlineStr">
        <is>
          <t>西班牙商会 Cámara de Comercio de España</t>
        </is>
      </c>
      <c r="B321" t="inlineStr">
        <is>
          <t>西班牙</t>
        </is>
      </c>
      <c r="C321" t="inlineStr">
        <is>
          <t>马德里</t>
        </is>
      </c>
      <c r="D321" t="inlineStr">
        <is>
          <t>商协会</t>
        </is>
      </c>
      <c r="E321" t="inlineStr">
        <is>
          <t>商会协会</t>
        </is>
      </c>
      <c r="F321" t="inlineStr">
        <is>
          <t>洛伊拉河岸街 12号
邮编：28042
马德里
西班牙</t>
        </is>
      </c>
      <c r="G321" s="2" t="str">
        <f>=HYPERLINK("https://www.camara.es/", "https://www.camara.es/")</f>
        <v>https://www.camara.es/</v>
      </c>
      <c r="H321" t="inlineStr">
        <is>
          <t>作为代表西班牙企业利益的最高全国性商业组织，西班牙商会是连接企业与公共部门、推动西班牙经济发展与国际化进程的关键枢纽。其主要职责包括为企业（特别是中小企业）提供海外市场拓展、出口咨询与国际贸易风险规避等专业服务，并通过其遍布全球的商会网络为西班牙企业寻找商业机会。其核心优势在于庞大的国际触点、权威的商业数据研究以及影响国家经济与贸易政策的能力，是西班牙企业走向世界的首要支持平台与可信赖代言人。</t>
        </is>
      </c>
      <c r="I321"/>
      <c r="J321"/>
      <c r="K321"/>
      <c r="L321" s="2" t="str">
        <f>=HYPERLINK("mailto:info@camara.es", "info@camara.essoporte.sede@camara.es")</f>
        <v>info@camara.essoporte.sede@camara.es</v>
      </c>
      <c r="M321" t="inlineStr">
        <is>
          <t>+34 91.590.69.00</t>
        </is>
      </c>
      <c r="N321" s="3">
        <v>46026</v>
      </c>
      <c r="O321" t="inlineStr">
        <is>
          <t>已联系未回复</t>
        </is>
      </c>
      <c r="P321"/>
      <c r="Q321" t="inlineStr">
        <is>
          <t>昆山开发区-西班牙巴塞罗那商协会</t>
        </is>
      </c>
      <c r="R321"/>
      <c r="S321"/>
      <c r="T321"/>
    </row>
    <row r="322" ht="25.5" customHeight="1">
      <c r="A322" t="inlineStr">
        <is>
          <t>巴塞罗那商会Cámara de Comercio de Barcelona</t>
        </is>
      </c>
      <c r="B322" t="inlineStr">
        <is>
          <t>西班牙</t>
        </is>
      </c>
      <c r="C322" t="inlineStr">
        <is>
          <t>巴塞罗那</t>
        </is>
      </c>
      <c r="D322" t="inlineStr">
        <is>
          <t>商协会</t>
        </is>
      </c>
      <c r="E322" t="inlineStr">
        <is>
          <t>商会协会</t>
        </is>
      </c>
      <c r="F322" t="inlineStr">
        <is>
          <t>对角线大道 452号
邮编：08006
巴塞罗那
西班牙</t>
        </is>
      </c>
      <c r="G322" s="2" t="str">
        <f>=HYPERLINK("https://cambrabcn.org/", "https://cambrabcn.org/")</f>
        <v>https://cambrabcn.org/</v>
      </c>
      <c r="H322" t="inlineStr">
        <is>
          <t>巴塞罗那商会是西班牙历史最悠久、最具影响力的地方商会之一，致力于推动巴塞罗那及加泰罗尼亚地区商业生态的繁荣。其职责远超传统贸易促进，深入提供企业培训、创新创业孵化、数字化咨询服务以及国际商业配对。其核心优势在于深厚的本地商业根基、对地中海经济圈的深刻理解，以及通过举办世界级会展（如MWC巴塞罗那）和打造本地商业社区（如“Barcelona, City of Talent”计划）来提升城市经济吸引力的卓越能力。</t>
        </is>
      </c>
      <c r="I322" t="inlineStr">
        <is>
          <t>Lluís Hernández</t>
        </is>
      </c>
      <c r="J322" t="inlineStr">
        <is>
          <t>国际贸易代表团负责人</t>
        </is>
      </c>
      <c r="K322"/>
      <c r="L322" s="2" t="str">
        <f>=HYPERLINK("http://internacional@cambrabcn.cat总邮箱： cambra@cambrabcn.cat", "internacional@cambrabcn.cat总邮箱： cambra@cambrabcn.cat")</f>
        <v>internacional@cambrabcn.cat总邮箱： cambra@cambrabcn.cat</v>
      </c>
      <c r="M322" t="inlineStr">
        <is>
          <t>93 416 93 00</t>
        </is>
      </c>
      <c r="N322" s="3">
        <v>46026</v>
      </c>
      <c r="O322" t="inlineStr">
        <is>
          <t>可长期合作</t>
        </is>
      </c>
      <c r="P322" t="inlineStr">
        <is>
          <t>需要开线上会议-需要内部讨论是否可以如期接待并考虑行程-可长期合作</t>
        </is>
      </c>
      <c r="Q322" t="inlineStr">
        <is>
          <t>昆山开发区-西班牙巴塞罗那商协会</t>
        </is>
      </c>
      <c r="R322"/>
      <c r="S322" t="inlineStr">
        <is>
          <t>合作方向：
1. 企业对接与商务考察：组织国内企业/代表团赴西班牙巴塞罗那，与当地会员企业进行精准对接、商务洽谈及产业考察。
2. 商贸信息与市场准入服务：获取加泰罗尼亚地区及西班牙的市场分析、政策法规、行业报告及投资准入指导。
3. 会议展览参与与举办：协助国内企业参与巴塞罗那商会主办或推荐的国际展会、行业峰会，并支持在该地举办专项推介会。 
4. 技能与职业培训：引进商会或其合作机构提供的面向企业员工和高管的专业培训课程（如国际贸易、数字营销、供应链管理等）。
5. 招商引资与落地服务：协助加泰罗尼亚/巴塞罗那企业来华考察、寻找合作伙伴，并提供在华投资落地的初期对接与咨询服务。
合作领域：
核心领域：商贸促进、投资对接、会展合作。
特色领域：企业国际化培训、中小企业支持服务。
模式特点：合作高度以具体产业和企业需求为导向，侧重于商业实践与资源网络的对接，而非学术性交流。</t>
        </is>
      </c>
      <c r="T322"/>
    </row>
    <row r="323" ht="25.5" customHeight="1">
      <c r="A323" t="inlineStr">
        <is>
          <t>巴塞罗那创新促进中心Barcelona Activa</t>
        </is>
      </c>
      <c r="B323" t="inlineStr">
        <is>
          <t>西班牙</t>
        </is>
      </c>
      <c r="C323" t="inlineStr">
        <is>
          <t>巴塞罗那</t>
        </is>
      </c>
      <c r="D323" t="inlineStr">
        <is>
          <t>政府机构</t>
        </is>
      </c>
      <c r="E323" t="inlineStr">
        <is>
          <t>政府</t>
        </is>
      </c>
      <c r="F323" t="inlineStr">
        <is>
          <t>罗克·博罗纳特街 117号
邮编：08018
巴塞罗那
西班牙</t>
        </is>
      </c>
      <c r="G323" s="2" t="str">
        <f>=HYPERLINK("https://empreses.barcelonactiva.cat/inici", "https://empreses.barcelonactiva.cat/inici")</f>
        <v>https://empreses.barcelonactiva.cat/inici</v>
      </c>
      <c r="H323" t="inlineStr">
        <is>
          <t>作为巴塞罗那市政府下属的经济发展机构，Barcelona Activa是城市创新创业生态系统的核心引擎。其主要职责是全面支持从创业理念到企业成长的全过程，提供包括免费创业指导、共享办公空间、融资渠道对接、人才招聘及技能培训等一站式服务。其突出优势在于强大的公共资源网络、高度实用的创业培训课程（如“Barcelona Accelera”加速计划），以及对社会包容性和可持续经济模式的坚定承诺，已成功培育了数千家初创企业，成为欧洲领先的公共创新创业支持典范。</t>
        </is>
      </c>
      <c r="I323"/>
      <c r="J323"/>
      <c r="K323"/>
      <c r="L323" s="2" t="str">
        <f>=HYPERLINK("http://总邮箱：oae@barcelonactiva.cat电话：900 533 175巴塞罗那Activa办公室邮箱：barcelonactiva@barcelonactiva.cat科技园：邮箱parc.tecnologic@barcelonactiva.cat", "总邮箱：oae@barcelonactiva.cat电话：900 533 175巴塞罗那Activa办公室邮箱：barcelonactiva@barcelonactiva.cat科技园：邮箱parc.tecnologic@barcelonactiva.cat")</f>
        <v>总邮箱：oae@barcelonactiva.cat电话：900 533 175巴塞罗那Activa办公室邮箱：barcelonactiva@barcelonactiva.cat科技园：邮箱parc.tecnologic@barcelonactiva.cat</v>
      </c>
      <c r="M323" t="inlineStr">
        <is>
          <t>900 533 175</t>
        </is>
      </c>
      <c r="N323" s="3">
        <v>46026</v>
      </c>
      <c r="O323" t="inlineStr">
        <is>
          <t>触达</t>
        </is>
      </c>
      <c r="P323" t="inlineStr">
        <is>
          <t>回复要通过填写官方表格来申请访问拜访</t>
        </is>
      </c>
      <c r="Q323" t="inlineStr">
        <is>
          <t>昆山开发区-西班牙巴塞罗那商协会</t>
        </is>
      </c>
      <c r="R323"/>
      <c r="S323"/>
      <c r="T323"/>
    </row>
    <row r="324" ht="25.5" customHeight="1">
      <c r="A324" t="inlineStr">
        <is>
          <t>加泰罗尼亚工商促进会 Foment del Treball Nacional</t>
        </is>
      </c>
      <c r="B324" t="inlineStr">
        <is>
          <t>西班牙</t>
        </is>
      </c>
      <c r="C324" t="inlineStr">
        <is>
          <t>巴塞罗那</t>
        </is>
      </c>
      <c r="D324" t="inlineStr">
        <is>
          <t>政府机构</t>
        </is>
      </c>
      <c r="E324" t="inlineStr">
        <is>
          <t>政府</t>
        </is>
      </c>
      <c r="F324" t="inlineStr">
        <is>
          <t>拉耶塔纳大道 32号
邮编：08003
巴塞罗那
西班牙</t>
        </is>
      </c>
      <c r="G324" s="2" t="str">
        <f>=HYPERLINK("https://www.foment.com/es/sobre-nosotros/#1401982474168-0-8", "https://www.foment.com/es/sobre-nosotros/#1401982474168-0-8")</f>
        <v>https://www.foment.com/es/sobre-nosotros/#1401982474168-0-8</v>
      </c>
      <c r="H324" t="inlineStr">
        <is>
          <t>加泰罗尼亚地区历史最悠久、最具分量的雇主组织与工商联合会，是加泰罗尼亚商界的核心政策倡导者。其核心职责是代表会员企业利益，与各级政府、工会及社会各界进行对话，积极影响劳工、税收、产业和欧盟层面的经济政策制定。其优势在于无与伦比的会员网络（涵盖从大型跨国集团到本土中小企业的广泛成员）、专业的政策研究团队，以及作为加泰罗尼亚工商界统一声音所拥有的强大政治与社会影响力。</t>
        </is>
      </c>
      <c r="I324" t="inlineStr">
        <is>
          <t>Ma. HELENA DE FELIPE</t>
        </is>
      </c>
      <c r="J324" t="inlineStr">
        <is>
          <t>国际事务部负责人</t>
        </is>
      </c>
      <c r="K324"/>
      <c r="L324" s="2" t="str">
        <f>=HYPERLINK("http://secretaria.general@foment.com", "secretaria.general@foment.com总邮箱：foment@foment.comlfolch@foment.com")</f>
        <v>secretaria.general@foment.com总邮箱：foment@foment.comlfolch@foment.com</v>
      </c>
      <c r="M324" t="inlineStr">
        <is>
          <t>93 484 1200</t>
        </is>
      </c>
      <c r="N324" s="3">
        <v>46026</v>
      </c>
      <c r="O324" t="inlineStr">
        <is>
          <t>已联系未回复</t>
        </is>
      </c>
      <c r="P324"/>
      <c r="Q324" t="inlineStr">
        <is>
          <t>昆山开发区-西班牙巴塞罗那商协会</t>
        </is>
      </c>
      <c r="R324"/>
      <c r="S324"/>
      <c r="T324"/>
    </row>
    <row r="325" ht="25.5" customHeight="1">
      <c r="A325" t="inlineStr">
        <is>
          <t>巴塞罗那活力科技园 Parc Technologic de Barcelona Activa</t>
        </is>
      </c>
      <c r="B325" t="inlineStr">
        <is>
          <t>西班牙</t>
        </is>
      </c>
      <c r="C325" t="inlineStr">
        <is>
          <t>巴塞罗那</t>
        </is>
      </c>
      <c r="D325" t="inlineStr">
        <is>
          <t>科技园区 / 创新中心</t>
        </is>
      </c>
      <c r="E325" t="inlineStr">
        <is>
          <t>科技园</t>
        </is>
      </c>
      <c r="F325" t="inlineStr">
        <is>
          <t>佩德拉尔韦斯大道 55-61 号
邮编：08019
巴塞罗那
西班牙</t>
        </is>
      </c>
      <c r="G325" s="2" t="str">
        <f>=HYPERLINK("https://empreses.barcelonactiva.cat/web/es/parc-tecnologic", "https://empreses.barcelonactiva.cat/web/es/parc-tecnologic")</f>
        <v>https://empreses.barcelonactiva.cat/web/es/parc-tecnologic</v>
      </c>
      <c r="H325" t="inlineStr">
        <is>
          <t>这是由Barcelona Activa管理的城市科技园区，是巴塞罗那数字与科技创新产业的实体聚集地。其职责是为科技型公司、初创企业及自由职业者提供现代化、协作性的办公空间和共享实验室，并组织丰富的行业交流与知识分享活动。其优势在于优越的市中心地理位置（22@区内）、高度聚焦于数字和创新经济的社区氛围，以及与巴塞罗那创新生态系统其他部分的紧密整合，为入驻企业提供了无价的成长网络与可见性。</t>
        </is>
      </c>
      <c r="I325"/>
      <c r="J325"/>
      <c r="K325"/>
      <c r="L325" s="2" t="str">
        <f>=HYPERLINK("http://parc.tecnologic@barcelonactiva.catempresa@barcelonactiva.cat", "parc.tecnologic@barcelonactiva.catempresa@barcelonactiva.cat")</f>
        <v>parc.tecnologic@barcelonactiva.catempresa@barcelonactiva.cat</v>
      </c>
      <c r="M325"/>
      <c r="N325" s="3">
        <v>46026</v>
      </c>
      <c r="O325" t="inlineStr">
        <is>
          <t>已联系未回复</t>
        </is>
      </c>
      <c r="P325"/>
      <c r="Q325" t="inlineStr">
        <is>
          <t>昆山开发区-西班牙巴塞罗那商协会</t>
        </is>
      </c>
      <c r="R325"/>
      <c r="S325"/>
      <c r="T325"/>
    </row>
    <row r="326" ht="25.5" customHeight="1">
      <c r="A326" t="inlineStr">
        <is>
          <t>加泰罗尼亚贸易与投资局Catalonia Trade &amp; Investment</t>
        </is>
      </c>
      <c r="B326" t="inlineStr">
        <is>
          <t>西班牙</t>
        </is>
      </c>
      <c r="C326" t="inlineStr">
        <is>
          <t>巴塞罗那</t>
        </is>
      </c>
      <c r="D326" t="inlineStr">
        <is>
          <t>政府机构</t>
        </is>
      </c>
      <c r="E326" t="inlineStr">
        <is>
          <t>政府</t>
        </is>
      </c>
      <c r="F326" t="inlineStr">
        <is>
          <t>格拉西亚大道 129号（格拉西亚区）
邮编：08008
巴塞罗那
西班牙</t>
        </is>
      </c>
      <c r="G326" s="2" t="str">
        <f>=HYPERLINK("https://catalonia.com/", "https://catalonia.com/")</f>
        <v>https://catalonia.com/</v>
      </c>
      <c r="H326" t="inlineStr">
        <is>
          <t>这是加泰罗尼亚大区政府下属的官方机构，专门负责吸引外国直接投资和促进本地区企业的国际化。其职责是为寻求在加泰罗尼亚设立或扩展业务的国际公司提供免费的保密咨询服务、定制化的区位方案和后续落地支持，同时帮助本地出口商开拓海外市场。其核心优势在于政府的官方背书、对加泰罗尼亚各产业集群（如生命科学、汽车、化工、ICT）的深刻洞察，以及覆盖全球60多个国家的专业网络，使其成为连接加泰罗尼亚与全球资本、市场的高效门户。</t>
        </is>
      </c>
      <c r="I326" t="inlineStr">
        <is>
          <t>张淑敏</t>
        </is>
      </c>
      <c r="J326" t="inlineStr">
        <is>
          <t>上海代表处办公室经理</t>
        </is>
      </c>
      <c r="K326"/>
      <c r="L326" s="2" t="str">
        <f>=HYPERLINK("http://M.(Wechat)+86 13761860604pzhang@catalonia.com", "M.(Wechat)+86 13761860604pzhang@catalonia.com")</f>
        <v>M.(Wechat)+86 13761860604pzhang@catalonia.com</v>
      </c>
      <c r="M326" t="inlineStr">
        <is>
          <t xml:space="preserve">+86 21 3217 0578        </t>
        </is>
      </c>
      <c r="N326" s="3">
        <v>46026</v>
      </c>
      <c r="O326" t="inlineStr">
        <is>
          <t>已联系已回复</t>
        </is>
      </c>
      <c r="P326" t="inlineStr">
        <is>
          <t>公务时间冲突，已拒绝</t>
        </is>
      </c>
      <c r="Q326" t="inlineStr">
        <is>
          <t>昆山开发区-西班牙巴塞罗那商协会</t>
        </is>
      </c>
      <c r="R326"/>
      <c r="S326" t="inlineStr">
        <is>
          <t>合作方向：
1. 区域性产业集群精准对接：组织中国地方政府、行业协会或企业代表团赴加泰罗尼亚，聚焦其优势产业集群（如汽车、化工、生命科学、ICT）进行深度商务对接与园区考察。
2. 招商引资与落地支持：获取加泰罗尼亚地区具体的投资激励政策、选址建议及设立企业的一站式官方服务，吸引其领先企业来华投资或设立研发中心。
3. 市场情报与产业研究：获取由该局提供的加泰罗尼亚及南欧市场的细分行业报告、竞争力分析及潜在合作伙伴筛选服务。
4. 参与特色行业展会与路演：协助中国企业参加在巴塞罗那等地举办的世界级行业展会（如世界移动通信大会MWC），或共同在华举办加泰罗尼亚产业主题推介会。
5. 创新生态与初创企业链接：对接巴塞罗那活跃的科创生态系统，包括科技园区、孵化器、风险投资及高增长潜力初创企业，推动联合研发或投资。
合作领域：
核心领域：汽车与移动出行、化工与材料、生命科学与医疗技术、信息通信技术与数字产业。
特色领域：智能城市解决方案、设计产业、美食与农业科技、体育产业。合作特点：合作具有 “区域聚焦、产业深度、创新驱动” 的特点。该机构专注于推广加泰罗尼亚作为南欧创新枢纽的地位，合作更侧重高科技、高附加值的产业与创新项目，灵活性高于国家级机构但专业度极强。</t>
        </is>
      </c>
      <c r="T326"/>
    </row>
    <row r="327" ht="25.5" customHeight="1">
      <c r="A327" t="inlineStr">
        <is>
          <t>巴塞罗那科技城 Barcelona Tech City</t>
        </is>
      </c>
      <c r="B327" t="inlineStr">
        <is>
          <t>西班牙</t>
        </is>
      </c>
      <c r="C327" t="inlineStr">
        <is>
          <t>巴塞罗那</t>
        </is>
      </c>
      <c r="D327" t="inlineStr">
        <is>
          <t>科技园区 / 创新中心</t>
        </is>
      </c>
      <c r="E327" t="inlineStr">
        <is>
          <t>科技园</t>
        </is>
      </c>
      <c r="F327" t="inlineStr">
        <is>
          <t>帕劳阿尔马德勒斯街 1号
邮编：08018
巴塞罗那
西班牙</t>
        </is>
      </c>
      <c r="G327" s="2" t="str">
        <f>=HYPERLINK("https://www.innovationbridge.eu/project/barcelona-tech-city/", "https://www.innovationbridge.eu/project/barcelona-tech-city/")</f>
        <v>https://www.innovationbridge.eu/project/barcelona-tech-city/</v>
      </c>
      <c r="H327" t="inlineStr">
        <is>
          <t>巴塞罗那科技城是一个由数字科技企业家和公司自发成立并驱动的行业协会和集群组织。其核心职责是代表和维护数字技术产业的利益，通过组织活动、促成合作、提供资源对接和参与公共政策讨论，来强化巴塞罗那作为南欧数字中心的地位。其最大优势在于其草根性和由会员驱动的活力，汇集了从初创企业到像Glovo、Typeform这样的科技独角兽在内的超过1100家公司，形成了一个极具影响力的内部合作与倡导网络。</t>
        </is>
      </c>
      <c r="I327"/>
      <c r="J327"/>
      <c r="K327"/>
      <c r="L327" s="2" t="str">
        <f>=HYPERLINK("mailto:info@german-innovation.org", "info@german-innovation.org//info@innovationbridge.eu")</f>
        <v>info@german-innovation.org//info@innovationbridge.eu</v>
      </c>
      <c r="M327"/>
      <c r="N327" s="3">
        <v>46026</v>
      </c>
      <c r="O327" t="inlineStr">
        <is>
          <t>已联系未回复</t>
        </is>
      </c>
      <c r="P327"/>
      <c r="Q327" t="inlineStr">
        <is>
          <t>昆山开发区-西班牙巴塞罗那商协会</t>
        </is>
      </c>
      <c r="R327"/>
      <c r="S327"/>
      <c r="T327"/>
    </row>
    <row r="328" ht="25.5" customHeight="1">
      <c r="A328" t="inlineStr">
        <is>
          <t>西班牙出口与投资促进局 ICEX España Exportación e Inversiones</t>
        </is>
      </c>
      <c r="B328" t="inlineStr">
        <is>
          <t>西班牙</t>
        </is>
      </c>
      <c r="C328" t="inlineStr">
        <is>
          <t>巴塞罗那</t>
        </is>
      </c>
      <c r="D328" t="inlineStr">
        <is>
          <t>政府机构</t>
        </is>
      </c>
      <c r="E328" t="inlineStr">
        <is>
          <t>政府</t>
        </is>
      </c>
      <c r="F328" t="inlineStr">
        <is>
          <t>卡列·莫雷罗·托雷斯 17号
邮编：28040
马德里
西班牙</t>
        </is>
      </c>
      <c r="G328" s="2" t="str">
        <f>=HYPERLINK("https://www.icex.es/", "https://www.icex.es/")</f>
        <v>https://www.icex.es/</v>
      </c>
      <c r="H328" t="inlineStr">
        <is>
          <t>隶属于西班牙工业、贸易与旅游部的国家机构，是西班牙政府促进经济国际化的核心工具。其职责包括系统性地提升“西班牙品牌”的国际形象、为西班牙企业（尤其是出口商）提供市场情报和海外推广支持，并积极吸引高附加值的外国直接投资进入西班牙。其核心优势在于覆盖全球的庞大办事处网络、全面的行业分析能力，以及组织大型国家级贸易代表团和参与世界博览会的能力，从国家战略层面为西班牙企业开拓全球市场保驾护航。</t>
        </is>
      </c>
      <c r="I328"/>
      <c r="J328"/>
      <c r="K328"/>
      <c r="L328" s="2" t="str">
        <f>=HYPERLINK("mailto:informacion@icex.es", "informacion@icex.es")</f>
        <v>informacion@icex.es</v>
      </c>
      <c r="M328" t="inlineStr">
        <is>
          <t>+34 913 49 61 00</t>
        </is>
      </c>
      <c r="N328" s="3">
        <v>46026</v>
      </c>
      <c r="O328" t="inlineStr">
        <is>
          <t>已联系已回复</t>
        </is>
      </c>
      <c r="P328" t="inlineStr">
        <is>
          <t>表示3月2日会在展会上，无法安排会面，只能在会场见面</t>
        </is>
      </c>
      <c r="Q328" t="inlineStr">
        <is>
          <t>昆山开发区-西班牙巴塞罗那商协会</t>
        </is>
      </c>
      <c r="R328"/>
      <c r="S328" t="inlineStr">
        <is>
          <t>合作方向：
1. 政府与企业代表团经贸对接：组织中国地方政府、商会或行业龙头企业代表团赴西班牙，与ICEX及其推荐的重点行业企业进行高层级、规模化的商务洽谈与产业考察。
2. 双向投资促进与落地服务：获得西班牙优势产业（如可再生能源、食品饮料、基础设施等）在华投资意向的官方渠道支持，并为中方企业赴西投资提供权威的政策、法律与市场准入指导。
3. 行业信息与市场准入权威咨询：获取由ICEX提供的西班牙及欧盟市场的深度行业分析报告、贸易法规更新及投资环境权威解读。
4. 参与国家级展会与经贸活动：协助中国企业参与或联合组织ICEX官方主办的西班牙国家展团、行业博览会及高端经济论坛。
5. 产业集群与科技园区对接：依托ICEX的网络，对接西班牙知名的产业集群、科技园区及研发中心，推动产学研合作与技术转移。
合作领域：
核心领域：高端制造、农产品与食品加工、可再生能源、生物医药、基础设施建设。
特色领域：旅游产业合作、设计与时尚产业、语言教育产业推广。
合作特点：合作具有 “国家级平台、官方背书、产业导向” 的特点。所有合作均建立在促进双边贸易与投资的宏观框架下，资源网络广，公信力强，但流程相对正式，需与政府议程和重点产业战略相匹配。</t>
        </is>
      </c>
      <c r="T328"/>
    </row>
    <row r="329" ht="25.5" customHeight="1">
      <c r="A329" t="inlineStr">
        <is>
          <t>巴塞罗那汽车产业集群 CIAC-Clúster de la Indústria de l’Automoció de Catalunya</t>
        </is>
      </c>
      <c r="B329" t="inlineStr">
        <is>
          <t>西班牙</t>
        </is>
      </c>
      <c r="C329" t="inlineStr">
        <is>
          <t>巴塞罗那</t>
        </is>
      </c>
      <c r="D329" t="inlineStr">
        <is>
          <t>汽车行业协会</t>
        </is>
      </c>
      <c r="E329" t="inlineStr">
        <is>
          <t>商会协会</t>
        </is>
      </c>
      <c r="F329" t="inlineStr">
        <is>
          <t>格拉西亚大道，129
08008 巴塞罗那</t>
        </is>
      </c>
      <c r="G329" s="2" t="str">
        <f>=HYPERLINK("https://www.ciac.cat/", "https://www.ciac.cat/")</f>
        <v>https://www.ciac.cat/</v>
      </c>
      <c r="H329" t="inlineStr">
        <is>
          <t>CIAC是加泰罗尼亚汽车产业生态系统的核心组织，代表了从整车制造、一级供应商到专业技术服务公司在内的完整产业链。其核心优势在于对区域汽车产业（尤其是电动化、智能化、网联化转型趋势）的深刻理解与资源整合能力。协会拥有超过210家会员企业，其中包括像SEAT、日产、Ficosa这样的龙头公司。对于昆山开发区而言，CIAC是精准切入新能源汽车与智能网联汽车赛道的“战略门户”。</t>
        </is>
      </c>
      <c r="I329"/>
      <c r="J329"/>
      <c r="K329"/>
      <c r="L329" s="2" t="str">
        <f>=HYPERLINK("http://联系表格：https://www.ciac.cat/ciac/contacte", "联系表格：https://www.ciac.cat/ciac/contacte")</f>
        <v>联系表格：https://www.ciac.cat/ciac/contacte</v>
      </c>
      <c r="M329"/>
      <c r="N329" s="3">
        <v>46026</v>
      </c>
      <c r="O329" t="inlineStr">
        <is>
          <t>已联系未回复</t>
        </is>
      </c>
      <c r="P329"/>
      <c r="Q329" t="inlineStr">
        <is>
          <t>昆山开发区-西班牙巴塞罗那商协会</t>
        </is>
      </c>
      <c r="R329"/>
      <c r="S329"/>
      <c r="T329"/>
    </row>
    <row r="330" ht="25.5" customHeight="1">
      <c r="A330" t="inlineStr">
        <is>
          <t>加泰罗尼亚化工协会
AEQT-Asociació Empresarial Química de Tarragona</t>
        </is>
      </c>
      <c r="B330" t="inlineStr">
        <is>
          <t>西班牙</t>
        </is>
      </c>
      <c r="C330" t="inlineStr">
        <is>
          <t>巴塞罗那</t>
        </is>
      </c>
      <c r="D330" t="inlineStr">
        <is>
          <t>化工行业协会</t>
        </is>
      </c>
      <c r="E330" t="inlineStr">
        <is>
          <t>商会协会</t>
        </is>
      </c>
      <c r="F330" t="inlineStr">
        <is>
          <t>蒙托里乌侯爵大道2号夹层</t>
        </is>
      </c>
      <c r="G330" s="2" t="str">
        <f>=HYPERLINK("https://www.aeqtonline.com/es/", "https://www.aeqtonline.com/es/")</f>
        <v>https://www.aeqtonline.com/es/</v>
      </c>
      <c r="H330" t="inlineStr">
        <is>
          <t>该协会是加泰罗尼亚化工与材料工业的权威代表，连接着区域内超过450家化工企业，形成了一个强大的产业网络。其优势在于对特种化学品、高性能材料、生物基产品及循环经济解决方案等高端细分领域的深度覆盖。对于昆山开发区而言，尤其是在发展化工新材料、高端精细化学品等产业方向时，该协会是一个极为专业的对接平台。</t>
        </is>
      </c>
      <c r="I330"/>
      <c r="J330"/>
      <c r="K330"/>
      <c r="L330" s="2" t="str">
        <f>=HYPERLINK("http://aeqt@aeqtonline.cominfo@aeqtonline.com", "aeqt@aeqtonline.cominfo@aeqtonline.com")</f>
        <v>aeqt@aeqtonline.cominfo@aeqtonline.com</v>
      </c>
      <c r="M330" t="inlineStr">
        <is>
          <t>+34 977 25 23 08
+34 977 252 308</t>
        </is>
      </c>
      <c r="N330" s="3">
        <v>46026</v>
      </c>
      <c r="O330" t="inlineStr">
        <is>
          <t>已联系未回复</t>
        </is>
      </c>
      <c r="P330"/>
      <c r="Q330" t="inlineStr">
        <is>
          <t>昆山开发区-西班牙巴塞罗那商协会</t>
        </is>
      </c>
      <c r="R330"/>
      <c r="S330"/>
      <c r="T330"/>
    </row>
    <row r="331" ht="25.5" customHeight="1">
      <c r="A331" t="inlineStr">
        <is>
          <t>加泰罗尼亚中小企业协会 PIMEC-Patronal Micro, Petites i Mitjanes Empreses de Catalunya</t>
        </is>
      </c>
      <c r="B331" t="inlineStr">
        <is>
          <t>西班牙</t>
        </is>
      </c>
      <c r="C331" t="inlineStr">
        <is>
          <t>巴塞罗那</t>
        </is>
      </c>
      <c r="D331" t="inlineStr">
        <is>
          <t>中小企业协会</t>
        </is>
      </c>
      <c r="E331" t="inlineStr">
        <is>
          <t>商会协会</t>
        </is>
      </c>
      <c r="F331" t="inlineStr">
        <is>
          <t>西班牙巴塞罗那，维拉多马特街174号</t>
        </is>
      </c>
      <c r="G331" s="2" t="str">
        <f>=HYPERLINK("https://pimec.org/", "https://pimec.org/")</f>
        <v>https://pimec.org/</v>
      </c>
      <c r="H331" t="inlineStr">
        <is>
          <t>PIMEC是加泰罗尼亚最重要的中小企业和自雇者协会，拥有超过15万家会员企业，其影响力渗透至各个经济领域。它的最大优势在于掌握了庞大且多元的“隐形冠军”和创新型科技中小企业资源库。这些企业往往在特定技术领域拥有独到优势，是产业生态中活力最强、合作最灵活的部分。对于昆山开发区，PIMEC是发掘高端装备制造、工业自动化、数字解决方案及特色消费品等领域潜在投资项目的关键渠道。</t>
        </is>
      </c>
      <c r="I331" t="inlineStr">
        <is>
          <t>Marc Collado</t>
        </is>
      </c>
      <c r="J331" t="inlineStr">
        <is>
          <t>国际部门工作人员</t>
        </is>
      </c>
      <c r="K331"/>
      <c r="L331" s="2" t="str">
        <f>=HYPERLINK("mailto:mcollado@pimec.org", "mcollado@pimec.org总邮箱：pimec@pimec.org")</f>
        <v>mcollado@pimec.org总邮箱：pimec@pimec.org</v>
      </c>
      <c r="M331" t="inlineStr">
        <is>
          <t>电话： 93 496 45 00
WhatsApp：693111070</t>
        </is>
      </c>
      <c r="N331" s="3">
        <v>46026</v>
      </c>
      <c r="O331" t="inlineStr">
        <is>
          <t>已联系未回复</t>
        </is>
      </c>
      <c r="P331"/>
      <c r="Q331" t="inlineStr">
        <is>
          <t>昆山开发区-西班牙巴塞罗那商协会</t>
        </is>
      </c>
      <c r="R331"/>
      <c r="S331"/>
      <c r="T331"/>
    </row>
    <row r="332" ht="25.5" customHeight="1">
      <c r="A332" t="inlineStr">
        <is>
          <t>布鲁克林技术高中Brooklyn Technical High School</t>
        </is>
      </c>
      <c r="B332" t="inlineStr">
        <is>
          <t>美国</t>
        </is>
      </c>
      <c r="C332" t="inlineStr">
        <is>
          <t>纽约州</t>
        </is>
      </c>
      <c r="D332" t="inlineStr">
        <is>
          <t>职业高中</t>
        </is>
      </c>
      <c r="E332" t="inlineStr">
        <is>
          <t>教育</t>
        </is>
      </c>
      <c r="F332" t="inlineStr">
        <is>
          <t>布鲁克林 (纽约州)</t>
        </is>
      </c>
      <c r="G332" s="2" t="str">
        <f>=HYPERLINK("https://www.bths.edu/", "https://www.bths.edu/")</f>
        <v>https://www.bths.edu/</v>
      </c>
      <c r="H332" t="inlineStr">
        <is>
          <t>作为纽约市历史悠久的顶尖特殊高中，布鲁克林技术高中以深度的STEM（科学、技术、工程、数学）教育闻名。学校提供超过15个重点工程与科技领域的专业实验室和课程，如机器人学、航空航天和城市系统工程，培养学生解决复杂实际问题的能力。其严格的学术环境和丰富的科研项目，使毕业生在进入顶尖大学及未来科技行业职业生涯中具有显著优势。</t>
        </is>
      </c>
      <c r="I332"/>
      <c r="J332"/>
      <c r="K332"/>
      <c r="L332" s="2" t="str">
        <f>=HYPERLINK("http://可通过在线表格联系学校的任何一个工作人员-职业技术老师联系表格https://www.bths.edu/apps/pages/index.jsp?uREC_ID=18376&amp;type=d&amp;termREC_ID=&amp;pREC_ID=staff", "可通过在线表格联系学校的任何一个工作人员-职业技术老师联系表格https://www.bths.edu/apps/pages/index.jsp?uREC_ID=18376&amp;type=d&amp;termREC_ID=&amp;pREC_ID=staff")</f>
        <v>可通过在线表格联系学校的任何一个工作人员-职业技术老师联系表格https://www.bths.edu/apps/pages/index.jsp?uREC_ID=18376&amp;type=d&amp;termREC_ID=&amp;pREC_ID=staff</v>
      </c>
      <c r="M332" t="inlineStr">
        <is>
          <t>(718) 804-6400</t>
        </is>
      </c>
      <c r="N332" s="3">
        <v>46026</v>
      </c>
      <c r="O332" t="inlineStr">
        <is>
          <t>已联系未回复</t>
        </is>
      </c>
      <c r="P332"/>
      <c r="Q332" t="inlineStr">
        <is>
          <t>上海商业会计学校-美国教师研修（影子教师）</t>
        </is>
      </c>
      <c r="R332"/>
      <c r="S332"/>
      <c r="T332"/>
    </row>
    <row r="333" ht="25.5" customHeight="1">
      <c r="A333" t="inlineStr">
        <is>
          <t>托马斯爱迪生职业技术高中Thomas A. Edison Career and Technical Education High School</t>
        </is>
      </c>
      <c r="B333" t="inlineStr">
        <is>
          <t>美国</t>
        </is>
      </c>
      <c r="C333" t="inlineStr">
        <is>
          <t>牙买加 (纽约州)</t>
        </is>
      </c>
      <c r="D333" t="inlineStr">
        <is>
          <t>职业高中</t>
        </is>
      </c>
      <c r="E333" t="inlineStr">
        <is>
          <t>教育</t>
        </is>
      </c>
      <c r="F333" t="inlineStr">
        <is>
          <t>纽约州牙买加区第84大道165-65号，邮编11432</t>
        </is>
      </c>
      <c r="G333" s="2" t="str">
        <f>=HYPERLINK("https://miamilakes.edu/", "https://miamilakes.edu/")</f>
        <v>https://miamilakes.edu/</v>
      </c>
      <c r="H333" t="inlineStr">
        <is>
          <t>秉承发明家爱迪生的实践精神，这所高中将职业培训完全融入学术核心。学校提供独特的“职业专业学院”模式，涵盖汽车技术、建筑工程、医疗保健和信息技术等领域。通过与本地工会、企业和医院的深度合作，学生能在真实工作环境中获得有薪实习和专业认证，为毕业后直接进入高技能行业或继续深造打下坚实基础。</t>
        </is>
      </c>
      <c r="I333"/>
      <c r="J333"/>
      <c r="K333"/>
      <c r="L333" s="2" t="str">
        <f>=HYPERLINK("http://秘书Constance Partinico：CPartinico@schools.nyc.gov国际空间站部门Ms. Scolavino：AScolavino@schools.nyc.govTheodora Antonopoulos：TAntonopoulos@schools.nyc.gov", "秘书Constance Partinico：CPartinico@schools.nyc.gov国际空间站部门Ms. Scolavino：AScolavino@schools.nyc.govTheodora Antonopoulos：TAntonopoulos@schools.nyc.gov")</f>
        <v>秘书Constance Partinico：CPartinico@schools.nyc.gov国际空间站部门Ms. Scolavino：AScolavino@schools.nyc.govTheodora Antonopoulos：TAntonopoulos@schools.nyc.gov</v>
      </c>
      <c r="M333" t="inlineStr">
        <is>
          <t>(718) 297-6580</t>
        </is>
      </c>
      <c r="N333" s="3">
        <v>46026</v>
      </c>
      <c r="O333" t="inlineStr">
        <is>
          <t>已联系未回复</t>
        </is>
      </c>
      <c r="P333"/>
      <c r="Q333" t="inlineStr">
        <is>
          <t>上海商业会计学校-美国教师研修（影子教师）</t>
        </is>
      </c>
      <c r="R333"/>
      <c r="S333"/>
      <c r="T333"/>
    </row>
    <row r="334" ht="25.5" customHeight="1">
      <c r="A334" t="inlineStr">
        <is>
          <t>休斯顿独立校区Houston ISD - Career and Technical Education</t>
        </is>
      </c>
      <c r="B334" t="inlineStr">
        <is>
          <t>美国</t>
        </is>
      </c>
      <c r="C334" t="inlineStr">
        <is>
          <t>休斯顿 (德克萨斯州)</t>
        </is>
      </c>
      <c r="D334" t="inlineStr">
        <is>
          <t>职业高中</t>
        </is>
      </c>
      <c r="E334" t="inlineStr">
        <is>
          <t>教育</t>
        </is>
      </c>
      <c r="F334" t="inlineStr">
        <is>
          <t>德克萨斯州休斯顿市西18街4400号，邮编77092</t>
        </is>
      </c>
      <c r="G334" s="2" t="str">
        <f>=HYPERLINK("https://www.houstonisd.org/", "https://www.houstonisd.org/")</f>
        <v>https://www.houstonisd.org/</v>
      </c>
      <c r="H334" t="inlineStr">
        <is>
          <t>休斯顿独立校区拥有全美规模最大、最多元化的职业技术教育体系之一。依托休斯顿作为全球能源和医疗中心的区位优势，CTE项目深度整合了石油化工、生物医学科学、网络安全和物流管理等特色产业课程。校区与数百家本地企业及社区学院建立了伙伴关系，确保学生获得行业认可的证书和宝贵的实习经验，实现教育与区域经济的无缝对接。</t>
        </is>
      </c>
      <c r="I334"/>
      <c r="J334"/>
      <c r="K334"/>
      <c r="L334" s="2" t="str">
        <f>=HYPERLINK("http://商业合作团队邮箱：businesspartnerships@houstonisd.org公共信息办公室：邮箱：publicinformation@houstonisd.org", "商业合作团队邮箱：businesspartnerships@houstonisd.org公共信息办公室：邮箱：publicinformation@houstonisd.org")</f>
        <v>商业合作团队邮箱：businesspartnerships@houstonisd.org公共信息办公室：邮箱：publicinformation@houstonisd.org</v>
      </c>
      <c r="M334" t="inlineStr">
        <is>
          <t>713-556-6000
(713) 556-6060</t>
        </is>
      </c>
      <c r="N334" s="3">
        <v>46026</v>
      </c>
      <c r="O334" t="inlineStr">
        <is>
          <t>已联系未回复</t>
        </is>
      </c>
      <c r="P334"/>
      <c r="Q334" t="inlineStr">
        <is>
          <t>上海商业会计学校-美国教师研修（影子教师）</t>
        </is>
      </c>
      <c r="R334"/>
      <c r="S334"/>
      <c r="T334"/>
    </row>
    <row r="335" ht="25.5" customHeight="1">
      <c r="A335" t="inlineStr">
        <is>
          <t>丹佛公立学校Denver Public Schools - Career and Technical Education (DPS-CTE)</t>
        </is>
      </c>
      <c r="B335" t="inlineStr">
        <is>
          <t>美国</t>
        </is>
      </c>
      <c r="C335" t="inlineStr">
        <is>
          <t>丹佛 (科罗拉多州)</t>
        </is>
      </c>
      <c r="D335" t="inlineStr">
        <is>
          <t>职业高中</t>
        </is>
      </c>
      <c r="E335" t="inlineStr">
        <is>
          <t>教育</t>
        </is>
      </c>
      <c r="F335" t="inlineStr">
        <is>
          <t>科罗拉多州丹佛市林肯街1860号，邮编80203</t>
        </is>
      </c>
      <c r="G335" s="2" t="str">
        <f>=HYPERLINK("https://www.dpsk12.org/", "https://www.dpsk12.org/")</f>
        <v>https://www.dpsk12.org/</v>
      </c>
      <c r="H335" t="inlineStr">
        <is>
          <t>丹佛公立学校的CTE项目以创新和公平性为核心，提供从农业科学到先进制造、从金融科技到早期儿童教育的广泛路径。其突出特点是“青年学徒计划”，允许学生在高中阶段就在合作企业中获得带薪工作经验并积累大学学分。项目特别注重培养创业精神与可持续技术领域的技能，以满足落基山脉地区不断变化的劳动力市场需求。</t>
        </is>
      </c>
      <c r="I335"/>
      <c r="J335"/>
      <c r="K335"/>
      <c r="L335" s="2" t="str">
        <f>=HYPERLINK("mailto:info@dpsk12.org", "info@dpsk12.org")</f>
        <v>info@dpsk12.org</v>
      </c>
      <c r="M335" t="inlineStr">
        <is>
          <t>720-423-3200</t>
        </is>
      </c>
      <c r="N335" s="3">
        <v>46026</v>
      </c>
      <c r="O335" t="inlineStr">
        <is>
          <t>已联系未回复</t>
        </is>
      </c>
      <c r="P335"/>
      <c r="Q335" t="inlineStr">
        <is>
          <t>上海商业会计学校-美国教师研修（影子教师）</t>
        </is>
      </c>
      <c r="R335"/>
      <c r="S335"/>
      <c r="T335"/>
    </row>
    <row r="336" ht="25.5" customHeight="1">
      <c r="A336" t="inlineStr">
        <is>
          <t>中乔治亚技术学院职业高中Central Georgia Technical College High School</t>
        </is>
      </c>
      <c r="B336" t="inlineStr">
        <is>
          <t>美国</t>
        </is>
      </c>
      <c r="C336" t="inlineStr">
        <is>
          <t>华纳罗宾斯 (佐治亚州)</t>
        </is>
      </c>
      <c r="D336" t="inlineStr">
        <is>
          <t>职业高中</t>
        </is>
      </c>
      <c r="E336" t="inlineStr">
        <is>
          <t>教育</t>
        </is>
      </c>
      <c r="F336" t="inlineStr">
        <is>
          <t>佐治亚州华纳罗宾斯市科恩·沃克道80号，邮编31088</t>
        </is>
      </c>
      <c r="G336" s="2" t="str">
        <f>=HYPERLINK("https://www.centralgatech.edu/", "https://www.centralgatech.edu/")</f>
        <v>https://www.centralgatech.edu/</v>
      </c>
      <c r="H336" t="inlineStr">
        <is>
          <t>这是一所创新的“双注册”高中，学生可同时获得高中文凭和技术学院副学士学位或行业证书。学校与中乔治亚技术学院共享先进的设施，在精密制造、网络安全、护理和无人机技术等领域的培训尤为出色。这种无缝衔接的模式极大地节省了学生的时间和成本，为他们快速进入高需求的技术岗位提供了高效通道。</t>
        </is>
      </c>
      <c r="I336"/>
      <c r="J336"/>
      <c r="K336"/>
      <c r="L336" s="2" t="str">
        <f>=HYPERLINK("mailto:info@centralgatech.edu", "info@centralgatech.edu")</f>
        <v>info@centralgatech.edu</v>
      </c>
      <c r="M336"/>
      <c r="N336" s="3">
        <v>46026</v>
      </c>
      <c r="O336" t="inlineStr">
        <is>
          <t>已联系未回复</t>
        </is>
      </c>
      <c r="P336"/>
      <c r="Q336" t="inlineStr">
        <is>
          <t>上海商业会计学校-美国教师研修（影子教师）</t>
        </is>
      </c>
      <c r="R336"/>
      <c r="S336"/>
      <c r="T336"/>
    </row>
    <row r="337" ht="25.5" customHeight="1">
      <c r="A337" t="inlineStr">
        <is>
          <t>西南职业与技术学院Southwest Career and Technical Academy</t>
        </is>
      </c>
      <c r="B337" t="inlineStr">
        <is>
          <t>美国</t>
        </is>
      </c>
      <c r="C337" t="inlineStr">
        <is>
          <t>拉斯维加斯 (内华达州)</t>
        </is>
      </c>
      <c r="D337" t="inlineStr">
        <is>
          <t>职业高中</t>
        </is>
      </c>
      <c r="E337" t="inlineStr">
        <is>
          <t>教育</t>
        </is>
      </c>
      <c r="F337" t="inlineStr">
        <is>
          <t>内华达州拉斯维加斯市西谢尔本大道7050号，邮编89113</t>
        </is>
      </c>
      <c r="G337" s="2" t="str">
        <f>=HYPERLINK("https://www.swcta.net/", "https://www.swcta.net/")</f>
        <v>https://www.swcta.net/</v>
      </c>
      <c r="H337" t="inlineStr">
        <is>
          <t>作为一所磁石学校，该学院以高度专业化的“学院制”架构而闻名，每个学院专注于一个产业群，如工程与设计、健康科学或酒店管理与旅游。课程强调基于项目的协作学习和尖端技术工具的应用，例如3D建模和医疗模拟设备。学院与拉斯维加斯当地的度假村、医院和科技公司紧密合作，提供丰富的实习和导师资源。</t>
        </is>
      </c>
      <c r="I337"/>
      <c r="J337"/>
      <c r="K337"/>
      <c r="L337" s="2" t="str">
        <f>=HYPERLINK("mailto:0448-swctarecruiting-user@nv.ccsd.net", "0448-swctarecruiting-user@nv.ccsd.net")</f>
        <v>0448-swctarecruiting-user@nv.ccsd.net</v>
      </c>
      <c r="M337" t="inlineStr">
        <is>
          <t>（702）799-5766</t>
        </is>
      </c>
      <c r="N337" s="3">
        <v>46026</v>
      </c>
      <c r="O337" t="inlineStr">
        <is>
          <t>已联系未回复</t>
        </is>
      </c>
      <c r="P337"/>
      <c r="Q337" t="inlineStr">
        <is>
          <t>上海商业会计学校-美国教师研修（影子教师）</t>
        </is>
      </c>
      <c r="R337"/>
      <c r="S337"/>
      <c r="T337"/>
    </row>
    <row r="338" ht="25.5" customHeight="1">
      <c r="A338" t="inlineStr">
        <is>
          <t>迈阿密湖教育中心与技术学院-承认教育机构Miami Lakes Educational Center and Technical College</t>
        </is>
      </c>
      <c r="B338" t="inlineStr">
        <is>
          <t>美国</t>
        </is>
      </c>
      <c r="C338" t="inlineStr">
        <is>
          <t>迈阿密 (佛罗里达州)</t>
        </is>
      </c>
      <c r="D338" t="inlineStr">
        <is>
          <t>职业高中</t>
        </is>
      </c>
      <c r="E338" t="inlineStr">
        <is>
          <t>教育</t>
        </is>
      </c>
      <c r="F338" t="inlineStr">
        <is>
          <t>佛罗里达州迈阿密市</t>
        </is>
      </c>
      <c r="G338" s="2" t="str">
        <f>=HYPERLINK("https://www.careerinayear.com/", "https://www.careerinayear.com/")</f>
        <v>https://www.careerinayear.com/</v>
      </c>
      <c r="H338" t="inlineStr">
        <is>
          <t>这所独特的机构同时服务于高中生成人和成人学习者，提供从职业证书到副学士学位的灵活教育路径。其在信息技术（特别是网络管理）、刑事司法、美容艺术和实际护理等领域的课程备受认可。学校拥有模拟法庭、专业沙龙和网络实验室等实战设施，并与南佛罗里达州的商业社区联系紧密，就业导向明确。</t>
        </is>
      </c>
      <c r="I338"/>
      <c r="J338"/>
      <c r="K338"/>
      <c r="L338" s="2" t="str">
        <f>=HYPERLINK("mailto:recruiting@dadeschools.net", "recruiting@dadeschools.net")</f>
        <v>recruiting@dadeschools.net</v>
      </c>
      <c r="M338" t="inlineStr">
        <is>
          <t>+1 305-558-8000</t>
        </is>
      </c>
      <c r="N338" s="3">
        <v>46026</v>
      </c>
      <c r="O338" t="inlineStr">
        <is>
          <t>已联系未回复</t>
        </is>
      </c>
      <c r="P338"/>
      <c r="Q338" t="inlineStr">
        <is>
          <t>上海商业会计学校-美国教师研修（影子教师）</t>
        </is>
      </c>
      <c r="R338"/>
      <c r="S338"/>
      <c r="T338"/>
    </row>
    <row r="339" ht="25.5" customHeight="1">
      <c r="A339" t="inlineStr">
        <is>
          <t>芝加哥职业生涯学院Chicago Vocational Career Academy</t>
        </is>
      </c>
      <c r="B339" t="inlineStr">
        <is>
          <t>美国</t>
        </is>
      </c>
      <c r="C339" t="inlineStr">
        <is>
          <t>芝加哥 (伊利诺伊州)</t>
        </is>
      </c>
      <c r="D339" t="inlineStr">
        <is>
          <t>职业高中</t>
        </is>
      </c>
      <c r="E339" t="inlineStr">
        <is>
          <t>教育</t>
        </is>
      </c>
      <c r="F339" t="inlineStr">
        <is>
          <t>伊利诺伊州芝加哥市东87街2100号，邮编60617</t>
        </is>
      </c>
      <c r="G339" s="2" t="str">
        <f>=HYPERLINK("https://www.cvcacademy.org/", "https://www.cvcacademy.org/")</f>
        <v>https://www.cvcacademy.org/</v>
      </c>
      <c r="H339" t="inlineStr">
        <is>
          <t>CVCA是芝加哥公立学校系统中职业教育的旗舰，拥有占地数英亩的现代化设施，包括全尺寸的汽车修理厂、建筑工地和商用厨房。学校与本地建筑行业委员会、汽车制造商和烹饪工会建立了深厚的学徒预备合作关系。其课程不仅教授硬技能，还强调职业道德、财务素养和领导力，为学生进入技术行业或成为企业家做好准备。</t>
        </is>
      </c>
      <c r="I339"/>
      <c r="J339"/>
      <c r="K339"/>
      <c r="L339" s="2" t="str">
        <f>=HYPERLINK("http://校长Latasha Taylor：https://www.cvcacademy.org/apps/pages/index.jsp?uREC_ID=1061575&amp;type=u副校长Phillip Watson邮箱：https://www.cvcacademy.org/apps/pages/index.jsp?uREC_ID=1341512&amp;type=u副校长Angelique Williams邮箱：https://www.cvcacademy.org/apps/pages/index.jsp?uREC_ID=1061576&amp;type=u", "校长Latasha Taylor：https://www.cvcacademy.org/apps/pages/index.jsp?uREC_ID=1061575&amp;type=u副校长Phillip Watson邮箱：https://www.cvcacademy.org/apps/pages/index.jsp?uREC_ID=1341512&amp;type=u副校长Angelique Williams邮箱：https://www.cvcacademy.org/apps/pages/index.jsp?uREC_ID=1061576&amp;type=u")</f>
        <v>校长Latasha Taylor：https://www.cvcacademy.org/apps/pages/index.jsp?uREC_ID=1061575&amp;type=u副校长Phillip Watson邮箱：https://www.cvcacademy.org/apps/pages/index.jsp?uREC_ID=1341512&amp;type=u副校长Angelique Williams邮箱：https://www.cvcacademy.org/apps/pages/index.jsp?uREC_ID=1061576&amp;type=u</v>
      </c>
      <c r="M339"/>
      <c r="N339" s="3">
        <v>46026</v>
      </c>
      <c r="O339" t="inlineStr">
        <is>
          <t>已联系未回复</t>
        </is>
      </c>
      <c r="P339"/>
      <c r="Q339" t="inlineStr">
        <is>
          <t>上海商业会计学校-美国教师研修（影子教师）</t>
        </is>
      </c>
      <c r="R339"/>
      <c r="S339"/>
      <c r="T339"/>
    </row>
    <row r="340" ht="25.5" customHeight="1">
      <c r="A340" t="inlineStr">
        <is>
          <t>卑尔根县技术高中Bergen County Technical High School</t>
        </is>
      </c>
      <c r="B340" t="inlineStr">
        <is>
          <t>美国</t>
        </is>
      </c>
      <c r="C340" t="inlineStr">
        <is>
          <t>泰特伯勒 (新泽西州)</t>
        </is>
      </c>
      <c r="D340" t="inlineStr">
        <is>
          <t>职业高中</t>
        </is>
      </c>
      <c r="E340" t="inlineStr">
        <is>
          <t>教育</t>
        </is>
      </c>
      <c r="F340" t="inlineStr">
        <is>
          <t>新泽西州泰特伯勒市美国46号公路504号，邮编07608-1104</t>
        </is>
      </c>
      <c r="G340" s="2" t="str">
        <f>=HYPERLINK("https://www.bergen.org/bcthstc", "https://www.bergen.org/bcthstc")</f>
        <v>https://www.bergen.org/bcthstc</v>
      </c>
      <c r="H340" t="inlineStr">
        <is>
          <t>作为新泽西州领先的技术教育体系，它在多个校区提供高度专业化的课程，包括全球领先的帕拉默斯校区的医疗科学项目和蒂内克校区的工程技术项目。学校以大学级别的实验室设备、严格的学术标准和强大的研究项目著称，许多学生在毕业前就已参与生物技术或工程领域的实际研究，在科学竞赛中屡获殊荣。</t>
        </is>
      </c>
      <c r="I340"/>
      <c r="J340"/>
      <c r="K340"/>
      <c r="L340" s="2" t="str">
        <f>=HYPERLINK("http://davtan@bergen.org", "davtan@bergen.org")</f>
        <v>davtan@bergen.org</v>
      </c>
      <c r="M340" t="inlineStr">
        <is>
          <t>201-343-6000</t>
        </is>
      </c>
      <c r="N340" s="3">
        <v>46026</v>
      </c>
      <c r="O340" t="inlineStr">
        <is>
          <t>已联系未回复</t>
        </is>
      </c>
      <c r="P340"/>
      <c r="Q340" t="inlineStr">
        <is>
          <t>上海商业会计学校-美国教师研修（影子教师）</t>
        </is>
      </c>
      <c r="R340"/>
      <c r="S340"/>
      <c r="T340"/>
    </row>
    <row r="341" ht="25.5" customHeight="1">
      <c r="A341" t="inlineStr">
        <is>
          <t>理查德兰高职业技术教育学校Richland High School Career and Technical Education</t>
        </is>
      </c>
      <c r="B341" t="inlineStr">
        <is>
          <t>美国</t>
        </is>
      </c>
      <c r="C341" t="inlineStr">
        <is>
          <t>里奇兰 (华盛顿州)</t>
        </is>
      </c>
      <c r="D341" t="inlineStr">
        <is>
          <t>职业高中</t>
        </is>
      </c>
      <c r="E341" t="inlineStr">
        <is>
          <t>教育</t>
        </is>
      </c>
      <c r="F341" t="inlineStr">
        <is>
          <t>华盛顿州里奇兰市朗大道930号，邮编99352</t>
        </is>
      </c>
      <c r="G341" s="2" t="str">
        <f>=HYPERLINK("https://richland.rsd.edu/academics/career-technical-education", "https://richland.rsd.edu/academics/career-technical-education")</f>
        <v>https://richland.rsd.edu/academics/career-technical-education</v>
      </c>
      <c r="H341" t="inlineStr">
        <is>
          <t>理查德兰高中的CTE项目成功地将传统农业教育与现代科技相结合，发展出独特的农业科学、食品生产和环境可持续性课程。同时，其在数字媒体、广播和图形设计方面也实力强劲，拥有专业级的电视台和制作工作室。这种文理与实践的融合，培养了学生既能扎根土地也能驾驭数字世界的综合能力。</t>
        </is>
      </c>
      <c r="I341" t="inlineStr">
        <is>
          <t>Amy Miller</t>
        </is>
      </c>
      <c r="J341" t="inlineStr">
        <is>
          <t>主任</t>
        </is>
      </c>
      <c r="K341"/>
      <c r="L341" s="2" t="str">
        <f>=HYPERLINK("mailto:Amy.Miller@rsd.edu", "Amy.Miller@rsd.edu")</f>
        <v>Amy.Miller@rsd.edu</v>
      </c>
      <c r="M341" t="inlineStr">
        <is>
          <t>509-967-6026</t>
        </is>
      </c>
      <c r="N341" s="3">
        <v>46026</v>
      </c>
      <c r="O341" t="inlineStr">
        <is>
          <t>已联系未回复</t>
        </is>
      </c>
      <c r="P341"/>
      <c r="Q341" t="inlineStr">
        <is>
          <t>上海商业会计学校-美国教师研修（影子教师）</t>
        </is>
      </c>
      <c r="R341"/>
      <c r="S341"/>
      <c r="T341"/>
    </row>
    <row r="342" ht="25.5" customHeight="1">
      <c r="A342" t="inlineStr">
        <is>
          <t>约翰·杜威高职业技术教育学校John Dewey High School - Career and Technical Education</t>
        </is>
      </c>
      <c r="B342" t="inlineStr">
        <is>
          <t>美国</t>
        </is>
      </c>
      <c r="C342" t="inlineStr">
        <is>
          <t>布鲁克林 (纽约州)</t>
        </is>
      </c>
      <c r="D342" t="inlineStr">
        <is>
          <t>职业高中</t>
        </is>
      </c>
      <c r="E342" t="inlineStr">
        <is>
          <t>教育</t>
        </is>
      </c>
      <c r="F342" t="inlineStr">
        <is>
          <t>纽约州布鲁克林区X大道50号，邮编11223</t>
        </is>
      </c>
      <c r="G342" s="2" t="str">
        <f>=HYPERLINK("https://www.johndeweyhighschool.org/", "https://www.johndeweyhighschool.org/")</f>
        <v>https://www.johndeweyhighschool.org/</v>
      </c>
      <c r="H342" t="inlineStr">
        <is>
          <t>John Dewey High School成立于1969年，位于纽约市布鲁克林区。学校为学生提供多种职业技术教育课程，特别在信息技术、教育和艺术领域有着显著优势。John Dewey High School通过项目式学习和行业合作，帮助学生在完成学业后能够迅速进入职场，具备所需的专业技能。学校注重实践教育，并通过与本地企业的合作，为学生提供实际操作的机会，确保他们在职场上具备较强的竞争力。</t>
        </is>
      </c>
      <c r="I342"/>
      <c r="J342"/>
      <c r="K342"/>
      <c r="L342" s="2" t="str">
        <f>=HYPERLINK("mailto:website@johndeweyhighschool.org", "website@johndeweyhighschool.org")</f>
        <v>website@johndeweyhighschool.org</v>
      </c>
      <c r="M342" t="inlineStr">
        <is>
          <t>+1 718-373-6400</t>
        </is>
      </c>
      <c r="N342" s="3">
        <v>46026</v>
      </c>
      <c r="O342" t="inlineStr">
        <is>
          <t>已联系未回复</t>
        </is>
      </c>
      <c r="P342"/>
      <c r="Q342" t="inlineStr">
        <is>
          <t>上海商业会计学校-美国教师研修（影子教师）</t>
        </is>
      </c>
      <c r="R342"/>
      <c r="S342"/>
      <c r="T342"/>
    </row>
    <row r="343" ht="25.5" customHeight="1">
      <c r="A343" t="inlineStr">
        <is>
          <t>奥克兰技术高中Oakland Technical High School</t>
        </is>
      </c>
      <c r="B343" t="inlineStr">
        <is>
          <t>美国</t>
        </is>
      </c>
      <c r="C343" t="inlineStr">
        <is>
          <t>奥克兰 (加利福尼亚州)</t>
        </is>
      </c>
      <c r="D343" t="inlineStr">
        <is>
          <t>职业高中</t>
        </is>
      </c>
      <c r="E343" t="inlineStr">
        <is>
          <t>教育</t>
        </is>
      </c>
      <c r="F343" t="inlineStr">
        <is>
          <t>加利福尼亚州奥克兰市百老汇大街4351号，邮编94611</t>
        </is>
      </c>
      <c r="G343" s="2" t="str">
        <f>=HYPERLINK("https://oaklandtech.ousd.org/", "https://oaklandtech.ousd.org/")</f>
        <v>https://oaklandtech.ousd.org/</v>
      </c>
      <c r="H343" t="inlineStr">
        <is>
          <t>Oakland Technical High School成立于1914年，位于加利福尼亚州奥克兰市。学校为学生提供广泛的职业技术教育课程，特别在建筑、工程和计算机领域具有强大优势。学校注重实践操作，并与当地企业有着密切的合作关系，为学生提供丰富的实习机会，帮助他们更好地融入工作环境。Oakland Technical High School致力于培养学生的专业技能，提供与行业标准接轨的课程，确保学生毕业后能够直接进入高需求的技术职位。</t>
        </is>
      </c>
      <c r="I343" t="inlineStr">
        <is>
          <t>Dionne Embry</t>
        </is>
      </c>
      <c r="J343" t="inlineStr">
        <is>
          <t>校长助理</t>
        </is>
      </c>
      <c r="K343"/>
      <c r="L343" s="2" t="str">
        <f>=HYPERLINK("mailto:dionne.embry@ousd.org", "dionne.embry@ousd.org")</f>
        <v>dionne.embry@ousd.org</v>
      </c>
      <c r="M343"/>
      <c r="N343" s="3">
        <v>46026</v>
      </c>
      <c r="O343" t="inlineStr">
        <is>
          <t>已联系未回复</t>
        </is>
      </c>
      <c r="P343"/>
      <c r="Q343" t="inlineStr">
        <is>
          <t>上海商业会计学校-美国教师研修（影子教师）</t>
        </is>
      </c>
      <c r="R343"/>
      <c r="S343"/>
      <c r="T343"/>
    </row>
    <row r="344" ht="25.5" customHeight="1">
      <c r="A344" t="inlineStr">
        <is>
          <t>哥伦比亚大学教师学院 Teachers College, Columbia University</t>
        </is>
      </c>
      <c r="B344" t="inlineStr">
        <is>
          <t>美国</t>
        </is>
      </c>
      <c r="C344" t="inlineStr">
        <is>
          <t>纽约市 (纽约州)</t>
        </is>
      </c>
      <c r="D344" t="inlineStr">
        <is>
          <t>大学-教育学院</t>
        </is>
      </c>
      <c r="E344" t="inlineStr">
        <is>
          <t>教育</t>
        </is>
      </c>
      <c r="F344" t="inlineStr">
        <is>
          <t>纽约州纽约市西120街525号，哥伦比亚大学教师学院，邮编10027</t>
        </is>
      </c>
      <c r="G344" s="2" t="str">
        <f>=HYPERLINK("https://www.tc.columbia.edu/", "https://www.tc.columbia.edu/")</f>
        <v>https://www.tc.columbia.edu/</v>
      </c>
      <c r="H344" t="inlineStr">
        <is>
          <t>作为全球教育研究与研究生教育的领导者，哥大教师学院在教育学的几乎所有分支都享有崇高声望。其在特殊教育、心理咨询、教育领导力、课程设计与国际比较教育等领域的研究与实践开创先河。学院位于纽约市，提供了无与伦比的实践实验室和影响力网络，致力于通过前沿研究解决最紧迫的教育不平等问题，培养变革型教育领袖。</t>
        </is>
      </c>
      <c r="I344"/>
      <c r="J344" t="inlineStr">
        <is>
          <t>项目指定指定邮箱</t>
        </is>
      </c>
      <c r="K344"/>
      <c r="L344" s="2" t="str">
        <f>=HYPERLINK("mailto:tcacademy@tc.columbia.edu", "tcacademy@tc.columbia.edu")</f>
        <v>tcacademy@tc.columbia.edu</v>
      </c>
      <c r="M344"/>
      <c r="N344" s="3">
        <v>46026</v>
      </c>
      <c r="O344" t="inlineStr">
        <is>
          <t>已联系未回复</t>
        </is>
      </c>
      <c r="P344"/>
      <c r="Q344" t="inlineStr">
        <is>
          <t>上海商业会计学校-美国教师研修（影子教师）</t>
        </is>
      </c>
      <c r="R344"/>
      <c r="S344"/>
      <c r="T344"/>
    </row>
    <row r="345" ht="25.5" customHeight="1">
      <c r="A345" t="inlineStr">
        <is>
          <t>德克萨斯大学奥斯汀分校教育学院课程与教学系
University of Texas at Austin – College of Education, Department of Curriculum and Instruction</t>
        </is>
      </c>
      <c r="B345" t="inlineStr">
        <is>
          <t>美国</t>
        </is>
      </c>
      <c r="C345" t="inlineStr">
        <is>
          <t>奥斯汀 (德克萨斯州)</t>
        </is>
      </c>
      <c r="D345" t="inlineStr">
        <is>
          <t>大学-教育学院</t>
        </is>
      </c>
      <c r="E345" t="inlineStr">
        <is>
          <t>教育</t>
        </is>
      </c>
      <c r="F345" t="inlineStr">
        <is>
          <t>德克萨斯州奥斯汀市斯皮德韦1912号D5000站，桑切斯大楼2.714室，邮编78712</t>
        </is>
      </c>
      <c r="G345" s="2" t="str">
        <f>=HYPERLINK("https://education.utexas.edu/departments/curriculum-instruction/", "https://education.utexas.edu/departments/curriculum-instruction/")</f>
        <v>https://education.utexas.edu/departments/curriculum-instruction/</v>
      </c>
      <c r="H345" t="inlineStr">
        <is>
          <t>该系是全美课程理论与教学实践研究的重镇，尤其专注于STEM教育、双语/ESL教学法、以及 culturally responsive teaching（文化回应式教学）。其教师培养项目强调基于证据的教学决策和技术的创新整合。系内学者深度参与德州全州的课程标准制定和教师专业发展，影响力遍及实践与政策层面。</t>
        </is>
      </c>
      <c r="I345" t="inlineStr">
        <is>
          <t>Ms. Sonja K. Runberg</t>
        </is>
      </c>
      <c r="J345" t="inlineStr">
        <is>
          <t>运营协调员</t>
        </is>
      </c>
      <c r="K345"/>
      <c r="L345" s="2" t="str">
        <f>=HYPERLINK("mailto:sonja.runberg@austin.utexas.edu", "sonja.runberg@austin.utexas.edu")</f>
        <v>sonja.runberg@austin.utexas.edu</v>
      </c>
      <c r="M345"/>
      <c r="N345" s="3">
        <v>46026</v>
      </c>
      <c r="O345" t="inlineStr">
        <is>
          <t>拒绝</t>
        </is>
      </c>
      <c r="P345" t="inlineStr">
        <is>
          <t>表示学校与合作方向不一致-后续我告知能够有其他方向的合作-未收到回复</t>
        </is>
      </c>
      <c r="Q345" t="inlineStr">
        <is>
          <t>上海商业会计学校-美国教师研修（影子教师）</t>
        </is>
      </c>
      <c r="R345"/>
      <c r="S345"/>
      <c r="T345"/>
    </row>
    <row r="346" ht="25.5" customHeight="1">
      <c r="A346" t="inlineStr">
        <is>
          <t>威斯康星大学麦迪逊分校教育学院 University of Wisconsin-Madison – School of Education</t>
        </is>
      </c>
      <c r="B346" t="inlineStr">
        <is>
          <t>美国</t>
        </is>
      </c>
      <c r="C346" t="inlineStr">
        <is>
          <t>麦迪逊 (威斯康星州)</t>
        </is>
      </c>
      <c r="D346" t="inlineStr">
        <is>
          <t>大学-教育学院</t>
        </is>
      </c>
      <c r="E346" t="inlineStr">
        <is>
          <t>教育</t>
        </is>
      </c>
      <c r="F346" t="inlineStr">
        <is>
          <t>威斯康星州麦迪逊市巴斯康购物中心1000号，邮编53706</t>
        </is>
      </c>
      <c r="G346" s="2" t="str">
        <f>=HYPERLINK("https://education.wisc.edu/", "https://education.wisc.edu/")</f>
        <v>https://education.wisc.edu/</v>
      </c>
      <c r="H346" t="inlineStr">
        <is>
          <t>威斯康星麦迪逊教育学院历史悠久，长期位居全美顶级行列。其教育心理学系世界闻名，同时在特殊教育、课程与政策研究、教师教育领域实力超群。学院秉承“威斯康星理念”，强调大学服务于社会的使命，通过广泛的研究中心（如威斯康星全纳教育中心）与全州学区深度合作，将研究成果转化为提升所有学生教育体验的实践。</t>
        </is>
      </c>
      <c r="I346"/>
      <c r="J346"/>
      <c r="K346"/>
      <c r="L346" s="2" t="str">
        <f>=HYPERLINK("http://全球参与办公室邮箱：global@education.wisc.edu", "全球参与办公室邮箱：global@education.wisc.edu")</f>
        <v>全球参与办公室邮箱：global@education.wisc.edu</v>
      </c>
      <c r="M346"/>
      <c r="N346" s="3">
        <v>46026</v>
      </c>
      <c r="O346" t="inlineStr">
        <is>
          <t>已联系未回复</t>
        </is>
      </c>
      <c r="P346"/>
      <c r="Q346" t="inlineStr">
        <is>
          <t>上海商业会计学校-美国教师研修（影子教师）</t>
        </is>
      </c>
      <c r="R346"/>
      <c r="S346"/>
      <c r="T346"/>
    </row>
    <row r="347" ht="25.5" customHeight="1">
      <c r="A347" t="inlineStr">
        <is>
          <t>南加州大学 - 罗西尔教育学院 University of Southern California - Rossier School of Education</t>
        </is>
      </c>
      <c r="B347" t="inlineStr">
        <is>
          <t>美国</t>
        </is>
      </c>
      <c r="C347" t="inlineStr">
        <is>
          <t>洛杉矶 (加利福尼亚州)</t>
        </is>
      </c>
      <c r="D347" t="inlineStr">
        <is>
          <t>大学-教育学院</t>
        </is>
      </c>
      <c r="E347" t="inlineStr">
        <is>
          <t>教育</t>
        </is>
      </c>
      <c r="F347" t="inlineStr">
        <is>
          <t>加利福尼亚州洛杉矶市特鲁斯代尔大道3470号，韦特·菲利普斯大厅，邮编90089</t>
        </is>
      </c>
      <c r="G347" s="2" t="str">
        <f>=HYPERLINK("https://rossier.usc.edu/", "https://rossier.usc.edu/")</f>
        <v>https://rossier.usc.edu/</v>
      </c>
      <c r="H347" t="inlineStr">
        <is>
          <t>南加州大学罗西尔学院以其创新的、面向城市教育的在线和线下硕士项目而著称。学院专注于教育领导力、教育政策、学习设计与技术以及K-12和高等教育中的公平性议题。凭借其在洛杉矶的地理位置和强大的校友网络，学院致力于通过创业思维和社区合作，培养能够驱动教育系统变革的领导者。</t>
        </is>
      </c>
      <c r="I347" t="inlineStr">
        <is>
          <t>Racines, Delia</t>
        </is>
      </c>
      <c r="J347" t="inlineStr">
        <is>
          <t>专业发展项目专员</t>
        </is>
      </c>
      <c r="K347"/>
      <c r="L347" s="2" t="str">
        <f>=HYPERLINK("mailto:dracines@usc.edu", "dracines@usc.edu")</f>
        <v>dracines@usc.edu</v>
      </c>
      <c r="M347" t="inlineStr">
        <is>
          <t>(213) 740‑7746</t>
        </is>
      </c>
      <c r="N347" s="3">
        <v>46026</v>
      </c>
      <c r="O347" t="inlineStr">
        <is>
          <t>已联系未回复</t>
        </is>
      </c>
      <c r="P347"/>
      <c r="Q347" t="inlineStr">
        <is>
          <t>上海商业会计学校-美国教师研修（影子教师）</t>
        </is>
      </c>
      <c r="R347"/>
      <c r="S347"/>
      <c r="T347"/>
    </row>
    <row r="348" ht="25.5" customHeight="1">
      <c r="A348" t="inlineStr">
        <is>
          <t>俄亥俄州立大学教育与人类生态学院 College of Education and Human Ecology, The Ohio State University</t>
        </is>
      </c>
      <c r="B348" t="inlineStr">
        <is>
          <t>美国</t>
        </is>
      </c>
      <c r="C348" t="inlineStr">
        <is>
          <t>哥伦布市 (俄亥俄州)</t>
        </is>
      </c>
      <c r="D348" t="inlineStr">
        <is>
          <t>大学-教育学院</t>
        </is>
      </c>
      <c r="E348" t="inlineStr">
        <is>
          <t>教育</t>
        </is>
      </c>
      <c r="F348" t="inlineStr">
        <is>
          <t>俄亥俄州哥伦布市北高中街1945号，阿普斯楼172号，邮编43210-1172</t>
        </is>
      </c>
      <c r="G348" s="2" t="str">
        <f>=HYPERLINK("https://ehe.osu.edu/", "https://ehe.osu.edu/")</f>
        <v>https://ehe.osu.edu/</v>
      </c>
      <c r="H348" t="inlineStr">
        <is>
          <t>该学院独特地将教育与人类发展、家庭科学、健康与营养科学整合在一个学术框架内。其在特殊教育（尤其是早期干预）、家庭与消费者科学教育、以及职业技术教育领域的研究和师资培养项目是全美标杆。学院注重跨学科合作，致力于从个体、家庭和社区多个层面理解和改善人类的学习与福祉。</t>
        </is>
      </c>
      <c r="I348" t="inlineStr">
        <is>
          <t>Luthy, Nicole</t>
        </is>
      </c>
      <c r="J348" t="inlineStr">
        <is>
          <t>教育学院院长办公室</t>
        </is>
      </c>
      <c r="K348"/>
      <c r="L348" s="2" t="str">
        <f>=HYPERLINK("mailto:luthy.22@osu.edu", "luthy.22@osu.edu")</f>
        <v>luthy.22@osu.edu</v>
      </c>
      <c r="M348"/>
      <c r="N348" s="3">
        <v>46026</v>
      </c>
      <c r="O348" t="inlineStr">
        <is>
          <t>已联系未回复</t>
        </is>
      </c>
      <c r="P348"/>
      <c r="Q348" t="inlineStr">
        <is>
          <t>上海商业会计学校-美国教师研修（影子教师）</t>
        </is>
      </c>
      <c r="R348"/>
      <c r="S348"/>
      <c r="T348"/>
    </row>
    <row r="349" ht="25.5" customHeight="1">
      <c r="A349" t="inlineStr">
        <is>
          <t>亚利桑那大学 - 教育学院，职业与技术教育系 University of Arizona-College of Education, Department of Career and Technical Education</t>
        </is>
      </c>
      <c r="B349" t="inlineStr">
        <is>
          <t>美国</t>
        </is>
      </c>
      <c r="C349" t="inlineStr">
        <is>
          <t>图森市 (亚利桑那州)</t>
        </is>
      </c>
      <c r="D349" t="inlineStr">
        <is>
          <t>大学-教育学院</t>
        </is>
      </c>
      <c r="E349" t="inlineStr">
        <is>
          <t>教育</t>
        </is>
      </c>
      <c r="F349" t="inlineStr">
        <is>
          <t>亚利桑那州图森市东第二街1430号，邮政信箱210069，邮编85721</t>
        </is>
      </c>
      <c r="G349" s="2" t="str">
        <f>=HYPERLINK("https://education.arizona.edu/", "https://education.arizona.edu/")</f>
        <v>https://education.arizona.edu/</v>
      </c>
      <c r="H349" t="inlineStr">
        <is>
          <t>作为全美少数几个专注于职业与技术教育博士培养的系所之一，亚利桑那大学的CTE系是该领域的顶尖研究和人才输送中心。其研究重点包括CTE教师教育与保留、劳动力市场分析、以及CTE对弱势学生群体的影响。该系与亚利桑那州的社区学院和产业界紧密合作，为州和国家的职业教育政策制定提供关键依据。</t>
        </is>
      </c>
      <c r="I349" t="inlineStr">
        <is>
          <t>Ms. Yousra Abourehab</t>
        </is>
      </c>
      <c r="J349" t="inlineStr">
        <is>
          <t>国际倡议联合主席</t>
        </is>
      </c>
      <c r="K349"/>
      <c r="L349" s="2" t="str">
        <f>=HYPERLINK("mailto:yabourehab@arizona.edu", "yabourehab@arizona.edu")</f>
        <v>yabourehab@arizona.edu</v>
      </c>
      <c r="M349"/>
      <c r="N349" s="3">
        <v>46026</v>
      </c>
      <c r="O349" t="inlineStr">
        <is>
          <t>已联系未回复</t>
        </is>
      </c>
      <c r="P349"/>
      <c r="Q349" t="inlineStr">
        <is>
          <t>上海商业会计学校-美国教师研修（影子教师）</t>
        </is>
      </c>
      <c r="R349"/>
      <c r="S349"/>
      <c r="T349"/>
    </row>
    <row r="350" ht="25.5" customHeight="1">
      <c r="A350" t="inlineStr">
        <is>
          <t>北卡罗来纳州立大学——教育学院 North Carolina State University – College of Education</t>
        </is>
      </c>
      <c r="B350" t="inlineStr">
        <is>
          <t>美国</t>
        </is>
      </c>
      <c r="C350" t="inlineStr">
        <is>
          <t>罗利市 (北卡罗来纳州)</t>
        </is>
      </c>
      <c r="D350" t="inlineStr">
        <is>
          <t>大学-教育学院</t>
        </is>
      </c>
      <c r="E350" t="inlineStr">
        <is>
          <t>教育</t>
        </is>
      </c>
      <c r="F350" t="inlineStr">
        <is>
          <t>北卡罗来纳州罗利市，邮政信箱7801，邮编27695-7801</t>
        </is>
      </c>
      <c r="G350" s="2" t="str">
        <f>=HYPERLINK("https://ced.ncsu.edu/", "https://ced.ncsu.edu/")</f>
        <v>https://ced.ncsu.edu/</v>
      </c>
      <c r="H350" t="inlineStr">
        <is>
          <t>依托北卡州立大学强大的STEM学科背景，其教育学院在科学教育、数学教育、技术教育和教育领导力方面表现卓越。学院拥有先进的教育技术实验室，并致力于培养能够有效整合技术的教育者。作为“研究三角园”的一部分，学院与高科技企业和研究机构合作紧密，专注于培养适应未来经济的创新人才。</t>
        </is>
      </c>
      <c r="I350" t="inlineStr">
        <is>
          <t>Lynn Wang</t>
        </is>
      </c>
      <c r="J350" t="inlineStr">
        <is>
          <t>亚洲项目主任</t>
        </is>
      </c>
      <c r="K350"/>
      <c r="L350" s="2" t="str">
        <f>=HYPERLINK("mailto:lwang58@ncsu.edu", "lwang58@ncsu.edu")</f>
        <v>lwang58@ncsu.edu</v>
      </c>
      <c r="M350"/>
      <c r="N350" s="3">
        <v>46026</v>
      </c>
      <c r="O350" t="inlineStr">
        <is>
          <t>可长期合作</t>
        </is>
      </c>
      <c r="P350" t="inlineStr">
        <is>
          <t>想要开启线上会议来讨论细节-表示需求明确可以按需求制定相关项目并可以长期合作</t>
        </is>
      </c>
      <c r="Q350" t="inlineStr">
        <is>
          <t>上海商业会计学校-美国教师研修（影子教师）,上海震旦职业学院-美国学生培训</t>
        </is>
      </c>
      <c r="R350"/>
      <c r="S350" t="inlineStr">
        <is>
          <t>合作方向：1.教师，领导，学生赴美（北卡罗拉纳州立大学）进行课程培训2.教师继续教育3.线上课程4.学术交流与友好学校建立5.科技商业化转化
合作领域：信息技术、工程应用和职业教育师资培训等</t>
        </is>
      </c>
      <c r="T350"/>
    </row>
    <row r="351" ht="25.5" customHeight="1">
      <c r="A351" t="inlineStr">
        <is>
          <t>明尼苏达大学双城分校 University of Minnesota-Twin Cities</t>
        </is>
      </c>
      <c r="B351" t="inlineStr">
        <is>
          <t>美国</t>
        </is>
      </c>
      <c r="C351" t="inlineStr">
        <is>
          <t>明尼阿波利斯 (明尼苏达州)</t>
        </is>
      </c>
      <c r="D351" t="inlineStr">
        <is>
          <t>大学-教育学院</t>
        </is>
      </c>
      <c r="E351" t="inlineStr">
        <is>
          <t>教育</t>
        </is>
      </c>
      <c r="F351" t="inlineStr">
        <is>
          <t>明尼苏达州明尼阿波利斯市，邮编55108</t>
        </is>
      </c>
      <c r="G351" s="2" t="str">
        <f>=HYPERLINK("https://twin-cities.umn.edu/", "https://twin-cities.umn.edu/")</f>
        <v>https://twin-cities.umn.edu/</v>
      </c>
      <c r="H351" t="inlineStr">
        <is>
          <t>明尼苏达大学的教育心理学系常年排名世界前列，其在学习科学、评估和特殊教育方面的研究影响深远。学院同时拥有强大的课程与教学系，关注城市教育、多元文化教育和教师专业发展。学校通过其附属的大学附属卓越中心，在发育性残疾领域的研究、培训和服务方面贡献卓著。</t>
        </is>
      </c>
      <c r="I351"/>
      <c r="J351"/>
      <c r="K351"/>
      <c r="L351" s="2" t="str">
        <f>=HYPERLINK("mailto:ope@umn.edu", "ope@umn.edu")</f>
        <v>ope@umn.edu</v>
      </c>
      <c r="M351" t="inlineStr">
        <is>
          <t>612-624-6876</t>
        </is>
      </c>
      <c r="N351" s="3">
        <v>46026</v>
      </c>
      <c r="O351" t="inlineStr">
        <is>
          <t>已联系未回复</t>
        </is>
      </c>
      <c r="P351"/>
      <c r="Q351" t="inlineStr">
        <is>
          <t>上海商业会计学校-美国教师研修（影子教师）</t>
        </is>
      </c>
      <c r="R351"/>
      <c r="S351"/>
      <c r="T351"/>
    </row>
    <row r="352" ht="25.5" customHeight="1">
      <c r="A352" t="inlineStr">
        <is>
          <t>马里兰大学帕克分校-教育学院  University of Maryland, College Park-college of education</t>
        </is>
      </c>
      <c r="B352" t="inlineStr">
        <is>
          <t>美国</t>
        </is>
      </c>
      <c r="C352" t="inlineStr">
        <is>
          <t>大学公园市 (马里兰州)</t>
        </is>
      </c>
      <c r="D352" t="inlineStr">
        <is>
          <t>大学-教育学院</t>
        </is>
      </c>
      <c r="E352" t="inlineStr">
        <is>
          <t>教育</t>
        </is>
      </c>
      <c r="F352" t="inlineStr">
        <is>
          <t>马里兰州大学公园市，邮编20742</t>
        </is>
      </c>
      <c r="G352" s="2" t="str">
        <f>=HYPERLINK("https://education.umd.edu/", "https://education.umd.edu/")</f>
        <v>https://education.umd.edu/</v>
      </c>
      <c r="H352" t="inlineStr">
        <is>
          <t>该学院在教育政策分析、少数族裔学生成就提升、数学教育研究和特殊教育干预等领域实力雄厚。凭借毗邻华盛顿特区的地理优势，学院的研究人员深度参与国家和州级教育政策的评估与制定。其“公平与卓越中心”等机构致力于通过严谨的研究，缩小不同学生群体间的机会与成就差距。</t>
        </is>
      </c>
      <c r="I352" t="inlineStr">
        <is>
          <t xml:space="preserve">Ms. Kelly Mix </t>
        </is>
      </c>
      <c r="J352" t="inlineStr">
        <is>
          <t>研究、创新与合作副院长</t>
        </is>
      </c>
      <c r="K352"/>
      <c r="L352" s="2" t="str">
        <f>=HYPERLINK("http://kmix@umd.edu", "kmix@umd.edu")</f>
        <v>kmix@umd.edu</v>
      </c>
      <c r="M352" t="inlineStr">
        <is>
          <t>301-405-2335</t>
        </is>
      </c>
      <c r="N352" s="3">
        <v>46026</v>
      </c>
      <c r="O352" t="inlineStr">
        <is>
          <t>已联系未回复</t>
        </is>
      </c>
      <c r="P352"/>
      <c r="Q352" t="inlineStr">
        <is>
          <t>上海商业会计学校-美国教师研修（影子教师）</t>
        </is>
      </c>
      <c r="R352"/>
      <c r="S352"/>
      <c r="T352"/>
    </row>
    <row r="353" ht="25.5" customHeight="1">
      <c r="A353" t="inlineStr">
        <is>
          <t>范德堡大学皮博迪学院 Peabody College of Vanderbilt University</t>
        </is>
      </c>
      <c r="B353" t="inlineStr">
        <is>
          <t>美国</t>
        </is>
      </c>
      <c r="C353" t="inlineStr">
        <is>
          <t>纳什维尔 (田纳西州)</t>
        </is>
      </c>
      <c r="D353" t="inlineStr">
        <is>
          <t>大学-教育学院</t>
        </is>
      </c>
      <c r="E353" t="inlineStr">
        <is>
          <t>教育</t>
        </is>
      </c>
      <c r="F353" t="inlineStr">
        <is>
          <t>田纳西州纳什维尔市阿普尔顿广场230号，邮编37203</t>
        </is>
      </c>
      <c r="G353" s="2" t="str">
        <f>=HYPERLINK("https://peabody.vanderbilt.edu/", "https://peabody.vanderbilt.edu/")</f>
        <v>https://peabody.vanderbilt.edu/</v>
      </c>
      <c r="H353" t="inlineStr">
        <is>
          <t>皮博迪学院是美国顶尖的教育学院之一，以其在特殊教育、教育政策、人类与组织发展以及K-12学校领导力方面的卓越研究和教学而闻名。学院拥有多个顶尖的研究中心，并提供紧密结合临床实践的顶级培训项目。其特殊教育项目尤其突出，专注于高发病率障碍的研究和基于证据的教学实践推广。</t>
        </is>
      </c>
      <c r="I353" t="inlineStr">
        <is>
          <t>Xiu Cravens</t>
        </is>
      </c>
      <c r="J353" t="inlineStr">
        <is>
          <t>国际教育与政策主任</t>
        </is>
      </c>
      <c r="K353"/>
      <c r="L353" s="2" t="str">
        <f>=HYPERLINK("mailto:xiu.cravens@vanderbilt.edu", "xiu.cravens@vanderbilt.edu")</f>
        <v>xiu.cravens@vanderbilt.edu</v>
      </c>
      <c r="M353" t="inlineStr">
        <is>
          <t>(615) 322-5521</t>
        </is>
      </c>
      <c r="N353" s="3">
        <v>46026</v>
      </c>
      <c r="O353" t="inlineStr">
        <is>
          <t>已联系未回复</t>
        </is>
      </c>
      <c r="P353"/>
      <c r="Q353" t="inlineStr">
        <is>
          <t>上海商业会计学校-美国教师研修（影子教师）</t>
        </is>
      </c>
      <c r="R353"/>
      <c r="S353"/>
      <c r="T353"/>
    </row>
    <row r="354" ht="25.5" customHeight="1">
      <c r="A354" t="inlineStr">
        <is>
          <t>堪萨斯大学 University of Kansas</t>
        </is>
      </c>
      <c r="B354" t="inlineStr">
        <is>
          <t>美国</t>
        </is>
      </c>
      <c r="C354" t="inlineStr">
        <is>
          <t>劳伦斯 (堪萨斯州)</t>
        </is>
      </c>
      <c r="D354" t="inlineStr">
        <is>
          <t>大学-教育学院</t>
        </is>
      </c>
      <c r="E354" t="inlineStr">
        <is>
          <t>教育</t>
        </is>
      </c>
      <c r="F354" t="inlineStr">
        <is>
          <t>堪萨斯州劳伦斯市西校区路1122号，约瑟夫·R·皮尔逊大楼221室，邮编66045-3101</t>
        </is>
      </c>
      <c r="G354" s="2" t="str">
        <f>=HYPERLINK("https://ku.edu/", "https://ku.edu/")</f>
        <v>https://ku.edu/</v>
      </c>
      <c r="H354" t="inlineStr">
        <is>
          <t>堪萨斯大学以其开创性的特殊教育研究和实践享誉全球，特别是在应用行为分析、自闭症谱系障碍干预、学习障碍和全纳教育模式方面。该校的“堪萨斯全纳教育模式”被广泛研究和采用。此外，它在学校心理学和教育领导力领域也拥有顶尖的博士项目，致力于培养改善所有学生（尤其是有特殊需要学生）教育成果的从业者和学者。</t>
        </is>
      </c>
      <c r="I354"/>
      <c r="J354"/>
      <c r="K354"/>
      <c r="L354" s="2" t="str">
        <f>=HYPERLINK("mailto:iss@ku.edu", "iss@ku.edu")</f>
        <v>iss@ku.edu</v>
      </c>
      <c r="M354" t="inlineStr">
        <is>
          <t>785-864-3617</t>
        </is>
      </c>
      <c r="N354" s="3">
        <v>46026</v>
      </c>
      <c r="O354" t="inlineStr">
        <is>
          <t>已联系未回复</t>
        </is>
      </c>
      <c r="P354"/>
      <c r="Q354" t="inlineStr">
        <is>
          <t>上海商业会计学校-美国教师研修（影子教师）</t>
        </is>
      </c>
      <c r="R354"/>
      <c r="S354"/>
      <c r="T354"/>
    </row>
    <row r="355" ht="25.5" customHeight="1">
      <c r="A355" t="inlineStr">
        <is>
          <t>俄勒冈大学 University of Oregon</t>
        </is>
      </c>
      <c r="B355" t="inlineStr">
        <is>
          <t>美国</t>
        </is>
      </c>
      <c r="C355" t="inlineStr">
        <is>
          <t>尤金市 (俄勒冈州)</t>
        </is>
      </c>
      <c r="D355" t="inlineStr">
        <is>
          <t>大学-教育学院</t>
        </is>
      </c>
      <c r="E355" t="inlineStr">
        <is>
          <t>教育</t>
        </is>
      </c>
      <c r="F355" t="inlineStr">
        <is>
          <t>俄勒冈州尤金市东13大道1585号，邮编97403</t>
        </is>
      </c>
      <c r="G355" s="2" t="str">
        <f>=HYPERLINK("https://www.uoregon.edu/", "https://www.uoregon.edu/")</f>
        <v>https://www.uoregon.edu/</v>
      </c>
      <c r="H355" t="inlineStr">
        <is>
          <t>俄勒冈大学教育学院以其在行为干预、教育神经科学、数据驱动的教学决策和积极行为支持系统方面的前沿研究而知名。学院的“预防科学研究所”在开发和支持基于证据的教育实践方面具有全国性影响力。其项目强调将科学发现转化为可操作的课堂策略和学校系统改革，以支持所有学习者的成功。</t>
        </is>
      </c>
      <c r="I355"/>
      <c r="J355"/>
      <c r="K355"/>
      <c r="L355" s="2" t="str">
        <f>=HYPERLINK("mailto:intl@uoregon.edu", "intl@uoregon.edu")</f>
        <v>intl@uoregon.edu</v>
      </c>
      <c r="M355"/>
      <c r="N355" s="3">
        <v>46026</v>
      </c>
      <c r="O355" t="inlineStr">
        <is>
          <t>已联系未回复</t>
        </is>
      </c>
      <c r="P355"/>
      <c r="Q355" t="inlineStr">
        <is>
          <t>上海商业会计学校-美国教师研修（影子教师）</t>
        </is>
      </c>
      <c r="R355"/>
      <c r="S355"/>
      <c r="T355"/>
    </row>
    <row r="356" ht="25.5" customHeight="1">
      <c r="A356" t="inlineStr">
        <is>
          <t>波格斯发育性残疾中心 The Boggs Center on Developmental Disabilities</t>
        </is>
      </c>
      <c r="B356" t="inlineStr">
        <is>
          <t>美国</t>
        </is>
      </c>
      <c r="C356" t="inlineStr">
        <is>
          <t>新布伦瑞克 (新泽西州)</t>
        </is>
      </c>
      <c r="D356" t="inlineStr">
        <is>
          <t>大学-教育学院</t>
        </is>
      </c>
      <c r="E356" t="inlineStr">
        <is>
          <t>教育</t>
        </is>
      </c>
      <c r="F356" t="inlineStr">
        <is>
          <t>新泽西州新布伦瑞克市乔治街335号自由广场3楼，邮编08901</t>
        </is>
      </c>
      <c r="G356" s="2" t="str">
        <f>=HYPERLINK("https://boggscenter.rwjms.rutgers.edu/", "https://boggscenter.rwjms.rutgers.edu/")</f>
        <v>https://boggscenter.rwjms.rutgers.edu/</v>
      </c>
      <c r="H356" t="inlineStr">
        <is>
          <t>作为新泽西大学附属卓越中心，波格斯中心是该州在发育性残疾领域的核心领导机构。它通过跨学科的专业培训、技术支持、社区服务和政策分析，致力于改善发育性残疾人士及其家庭在全生命周期内的生活质量。中心在促进全纳教育、就业、社区生活和自我倡导方面的工作具有全国示范意义。</t>
        </is>
      </c>
      <c r="I356" t="inlineStr">
        <is>
          <t>Susan Ellien</t>
        </is>
      </c>
      <c r="J356" t="inlineStr">
        <is>
          <t>知识转化与项目开发专家</t>
        </is>
      </c>
      <c r="K356"/>
      <c r="L356" s="2" t="str">
        <f>=HYPERLINK("mailto:susan.ellien@rutgers.edu", "susan.ellien@rutgers.edu")</f>
        <v>susan.ellien@rutgers.edu</v>
      </c>
      <c r="M356"/>
      <c r="N356" s="3">
        <v>46026</v>
      </c>
      <c r="O356" t="inlineStr">
        <is>
          <t>已联系未回复</t>
        </is>
      </c>
      <c r="P356"/>
      <c r="Q356" t="inlineStr">
        <is>
          <t>上海商业会计学校-美国教师研修（影子教师）</t>
        </is>
      </c>
      <c r="R356"/>
      <c r="S356"/>
      <c r="T356"/>
    </row>
    <row r="357" ht="25.5" customHeight="1">
      <c r="A357" t="inlineStr">
        <is>
          <t>TransCen, Inc.</t>
        </is>
      </c>
      <c r="B357" t="inlineStr">
        <is>
          <t>美国</t>
        </is>
      </c>
      <c r="C357" t="inlineStr">
        <is>
          <t>罗克维尔 (马里兰州)</t>
        </is>
      </c>
      <c r="D357" t="inlineStr">
        <is>
          <t>教育培训机构</t>
        </is>
      </c>
      <c r="E357" t="inlineStr">
        <is>
          <t>教育</t>
        </is>
      </c>
      <c r="F357" t="inlineStr">
        <is>
          <t>马里兰州罗克维尔市双溪大道12300号350室，邮编20852</t>
        </is>
      </c>
      <c r="G357" s="2" t="str">
        <f>=HYPERLINK("https://www.transcen.org/", "https://www.transcen.org/")</f>
        <v>https://www.transcen.org/</v>
      </c>
      <c r="H357" t="inlineStr">
        <is>
          <t>TransCen是一家全国知名的非营利研究和培训机构，其核心使命是促进残障青年和成人的就业与职业发展。该机构以开发和应用基于实证的“支持性就业”和“过渡服务”模型而闻名，为学校、职业康复机构和雇主提供专业的技术援助、课程资源和培训。其工作直接帮助残障人士成功融入竞争性劳动力市场，实现经济独立。</t>
        </is>
      </c>
      <c r="I357"/>
      <c r="J357"/>
      <c r="K357"/>
      <c r="L357" s="2" t="str">
        <f>=HYPERLINK("mailto:inquiries@transcen.org", "inquiries@transcen.org")</f>
        <v>inquiries@transcen.org</v>
      </c>
      <c r="M357" t="inlineStr">
        <is>
          <t>+1 301-424-2002</t>
        </is>
      </c>
      <c r="N357" s="3">
        <v>46026</v>
      </c>
      <c r="O357" t="inlineStr">
        <is>
          <t>已联系未回复</t>
        </is>
      </c>
      <c r="P357"/>
      <c r="Q357" t="inlineStr">
        <is>
          <t>上海商业会计学校-美国教师研修（影子教师）</t>
        </is>
      </c>
      <c r="R357"/>
      <c r="S357"/>
      <c r="T357"/>
    </row>
    <row r="358" ht="25.5" customHeight="1">
      <c r="A358" t="inlineStr">
        <is>
          <t>威斯康星大学斯托特分校教育学院 University of Wisconsin-Stout–School of Education</t>
        </is>
      </c>
      <c r="B358" t="inlineStr">
        <is>
          <t>美国</t>
        </is>
      </c>
      <c r="C358" t="inlineStr">
        <is>
          <t>梅诺莫尼市 (威斯康星州)</t>
        </is>
      </c>
      <c r="D358" t="inlineStr">
        <is>
          <t>大学-教育学院</t>
        </is>
      </c>
      <c r="E358" t="inlineStr">
        <is>
          <t>教育</t>
        </is>
      </c>
      <c r="F358" t="inlineStr">
        <is>
          <t>威斯康星州梅诺莫尼市南百老汇街712号，邮编54751</t>
        </is>
      </c>
      <c r="G358" s="2" t="str">
        <f>=HYPERLINK("https://www.uwstout.edu/academics/colleges-schools/college-arts-human-sciences/school-education", "https://www.uwstout.edu/academics/colleges-schools/college-arts-human-sciences/school-education")</f>
        <v>https://www.uwstout.edu/academics/colleges-schools/college-arts-human-sciences/school-education</v>
      </c>
      <c r="H358" t="inlineStr">
        <is>
          <t>作为威斯康星州立大学系统中专注于职业、技术和应用学习的成员，斯托特分校的教育学院与学校的工程、艺术、商业等应用学科无缝整合。它提供全美领先的职业与技术教育师资培养项目，专注于课程开发、教学技术和CTE领域的领导力。毕业生深受K-12学区和技术学院欢迎，是连接教育与产业的关键桥梁。</t>
        </is>
      </c>
      <c r="I358" t="inlineStr">
        <is>
          <t>Ms. Beth Hein</t>
        </is>
      </c>
      <c r="J358" t="inlineStr">
        <is>
          <t>教育途径与推广执行主任</t>
        </is>
      </c>
      <c r="K358"/>
      <c r="L358" s="2" t="str">
        <f>=HYPERLINK("mailto:heinb@uwstout.edu", "heinb@uwstout.edu")</f>
        <v>heinb@uwstout.edu</v>
      </c>
      <c r="M358" t="inlineStr">
        <is>
          <t>715-232-3157</t>
        </is>
      </c>
      <c r="N358" s="3">
        <v>46026</v>
      </c>
      <c r="O358" t="inlineStr">
        <is>
          <t>已联系未回复</t>
        </is>
      </c>
      <c r="P358"/>
      <c r="Q358" t="inlineStr">
        <is>
          <t>上海商业会计学校-美国教师研修（影子教师）</t>
        </is>
      </c>
      <c r="R358"/>
      <c r="S358"/>
      <c r="T358"/>
    </row>
    <row r="359" ht="25.5" customHeight="1">
      <c r="A359" t="inlineStr">
        <is>
          <t>杰克逊维尔佛罗里达州立学院 - 职业与技术教育 Florida State College at Jacksonville – Career and Technical Education</t>
        </is>
      </c>
      <c r="B359" t="inlineStr">
        <is>
          <t>美国</t>
        </is>
      </c>
      <c r="C359" t="inlineStr">
        <is>
          <t>杰克逊维尔 (佛罗里达州)</t>
        </is>
      </c>
      <c r="D359" t="inlineStr">
        <is>
          <t>教育培训机构</t>
        </is>
      </c>
      <c r="E359" t="inlineStr">
        <is>
          <t>教育</t>
        </is>
      </c>
      <c r="F359" t="inlineStr">
        <is>
          <t>佛罗里达州杰克逊维尔市，邮编32202</t>
        </is>
      </c>
      <c r="G359" s="2" t="str">
        <f>=HYPERLINK("https://www.fscj.edu/", "https://www.fscj.edu/")</f>
        <v>https://www.fscj.edu/</v>
      </c>
      <c r="H359" t="inlineStr">
        <is>
          <t>作为佛罗里达州东北部最大的高等教育机构之一，该学院提供超过100个职业证书和副学士学位项目。其CTE项目直接响应区域劳动力市场需求，在医疗保健（如护理、放射技术）、信息技术、先进制造、物流和公共安全（消防、执法）领域尤为强势。学院与当地主要雇主（如梅奥诊所、CSX运输公司）建立了牢固的学徒和直接雇用管道，确保学生所学即所需，毕业即就业。</t>
        </is>
      </c>
      <c r="I359" t="inlineStr">
        <is>
          <t>Dr. Jametoria Burton</t>
        </is>
      </c>
      <c r="J359" t="inlineStr">
        <is>
          <t>项目开发副主任</t>
        </is>
      </c>
      <c r="K359"/>
      <c r="L359" s="2" t="str">
        <f>=HYPERLINK("mailto:J.Burton@fscj.edu", "J.Burton@fscj.edu")</f>
        <v>J.Burton@fscj.edu</v>
      </c>
      <c r="M359"/>
      <c r="N359" s="3">
        <v>46026</v>
      </c>
      <c r="O359" t="inlineStr">
        <is>
          <t>已联系未回复</t>
        </is>
      </c>
      <c r="P359"/>
      <c r="Q359" t="inlineStr">
        <is>
          <t>上海商业会计学校-美国教师研修（影子教师）</t>
        </is>
      </c>
      <c r="R359"/>
      <c r="S359"/>
      <c r="T359"/>
    </row>
    <row r="360" ht="25.5" customHeight="1">
      <c r="A360" t="inlineStr">
        <is>
          <t>塔什干国际学校Tashkent International School</t>
        </is>
      </c>
      <c r="B360" t="inlineStr">
        <is>
          <t>乌兹别克斯坦</t>
        </is>
      </c>
      <c r="C360" t="inlineStr">
        <is>
          <t>塔什干</t>
        </is>
      </c>
      <c r="D360" t="inlineStr">
        <is>
          <t>初中</t>
        </is>
      </c>
      <c r="E360" t="inlineStr">
        <is>
          <t>教育</t>
        </is>
      </c>
      <c r="F360" t="inlineStr">
        <is>
          <t>乌兹别克斯坦塔什干市萨里库尔街38号</t>
        </is>
      </c>
      <c r="G360" s="2" t="str">
        <f>=HYPERLINK("https://www.tashschool.org/", "https://www.tashschool.org/")</f>
        <v>https://www.tashschool.org/</v>
      </c>
      <c r="H360" t="inlineStr">
        <is>
          <t>塔什干国际学校成立于1994年，是一所提供国际文凭（IB）课程体系的学校，致力于为来自世界各地的学生提供高质量的教育。学校的课程覆盖从幼儿园到高中，并强调多文化的教育环境和全球视野。学校培养学生的批判性思维能力、创造力和社会责任感，是塔什干最具声望的国际教育机构之一。</t>
        </is>
      </c>
      <c r="I360" t="inlineStr">
        <is>
          <t>Lisa Reid</t>
        </is>
      </c>
      <c r="J360" t="inlineStr">
        <is>
          <t>中学主要负责人</t>
        </is>
      </c>
      <c r="K360"/>
      <c r="L360" s="2" t="str">
        <f>=HYPERLINK("mailto:seccounselor@tashschool.org", "seccounselor@tashschool.org")</f>
        <v>seccounselor@tashschool.org</v>
      </c>
      <c r="M360" t="inlineStr">
        <is>
          <t>+99855 501 96 70</t>
        </is>
      </c>
      <c r="N360" s="3">
        <v>46026</v>
      </c>
      <c r="O360" t="inlineStr">
        <is>
          <t>推进中</t>
        </is>
      </c>
      <c r="P360" t="inlineStr">
        <is>
          <t>自动回复</t>
        </is>
      </c>
      <c r="Q360" t="inlineStr">
        <is>
          <t>上海工商外国语学校-留学生</t>
        </is>
      </c>
      <c r="R360"/>
      <c r="S360"/>
      <c r="T360"/>
    </row>
    <row r="361" ht="25.5" customHeight="1">
      <c r="A361" t="inlineStr">
        <is>
          <t>塔什干国立东方大学孔子乌兹别克-中国研究所Uzbek-Chinese Institute named after Confucius at the Tashkent State University of Oriental Studies</t>
        </is>
      </c>
      <c r="B361" t="inlineStr">
        <is>
          <t>乌兹别克斯坦</t>
        </is>
      </c>
      <c r="C361" t="inlineStr">
        <is>
          <t>塔什干</t>
        </is>
      </c>
      <c r="D361" t="inlineStr">
        <is>
          <t>研究中心</t>
        </is>
      </c>
      <c r="E361" t="inlineStr">
        <is>
          <t>教育</t>
        </is>
      </c>
      <c r="F361" t="inlineStr">
        <is>
          <t>乌兹别克斯坦塔什干市，阿米尔·帖木儿街20号，邮编100060</t>
        </is>
      </c>
      <c r="G361" s="2" t="str">
        <f>=HYPERLINK("https://tsuos.uz/en/konfutsiy-nomidagi-ozbek-xitoy-instituti/", "https://tsuos.uz/en/konfutsiy-nomidagi-ozbek-xitoy-instituti/")</f>
        <v>https://tsuos.uz/en/konfutsiy-nomidagi-ozbek-xitoy-instituti/</v>
      </c>
      <c r="H361" t="inlineStr">
        <is>
          <t>塔什干国立东方大学孔子学院是中乌两国文化交流的重要平台之一，致力于推广中文教育和中国文化。该学院提供中文课程、文化交流项目以及语言培训，旨在帮助学生深入了解中国的历史、文化和语言。学院的成立促进了乌兹别克斯坦与中国在教育、经济、文化等多个领域的合作与交流。</t>
        </is>
      </c>
      <c r="I361"/>
      <c r="J361" t="inlineStr">
        <is>
          <t>国际关系部主管</t>
        </is>
      </c>
      <c r="K361"/>
      <c r="L361" s="2" t="str">
        <f>=HYPERLINK("mailto:info@tsuos.uz", "info@tsuos.uz")</f>
        <v>info@tsuos.uz</v>
      </c>
      <c r="M361" t="inlineStr">
        <is>
          <t>+99871 233-34-24</t>
        </is>
      </c>
      <c r="N361" s="3">
        <v>46026</v>
      </c>
      <c r="O361" t="inlineStr">
        <is>
          <t>已联系未回复</t>
        </is>
      </c>
      <c r="P361"/>
      <c r="Q361" t="inlineStr">
        <is>
          <t>上海工商外国语学校-留学生</t>
        </is>
      </c>
      <c r="R361"/>
      <c r="S361"/>
      <c r="T361"/>
    </row>
    <row r="362" ht="25.5" customHeight="1">
      <c r="A362" t="inlineStr">
        <is>
          <t>塔什干英国学校The British School of Tashkent</t>
        </is>
      </c>
      <c r="B362" t="inlineStr">
        <is>
          <t>乌兹别克斯坦</t>
        </is>
      </c>
      <c r="C362" t="inlineStr">
        <is>
          <t>塔什干</t>
        </is>
      </c>
      <c r="D362" t="inlineStr">
        <is>
          <t>初中</t>
        </is>
      </c>
      <c r="E362" t="inlineStr">
        <is>
          <t>教育</t>
        </is>
      </c>
      <c r="F362" t="inlineStr">
        <is>
          <t>赛拉姆校区：乌兹别克斯坦塔什干市米尔佐·乌鲁格别克区，赛拉姆街30A楼卡兰达尔校区：乌兹别克斯坦塔什干市米尔佐·乌鲁格别克区，卡兰达尔街3号楼</t>
        </is>
      </c>
      <c r="G362" s="2" t="str">
        <f>=HYPERLINK("http://www.britishschool.uz/", "www.britishschool.uz")</f>
        <v>www.britishschool.uz</v>
      </c>
      <c r="H362" t="inlineStr">
        <is>
          <t>塔什干英国学校是一所提供英式教育的国际学校，课程设置基于英国教育体系，涵盖小学至高中阶段的教育。学校注重学术成就和学生的全面发展，培养学生的批判性思维、独立性和全球视野。学生可通过GCSE和A-levels课程为进入世界各大大学做好准备，是塔什干最受欢迎的英国式教育机构之一。</t>
        </is>
      </c>
      <c r="I362"/>
      <c r="J362"/>
      <c r="K362"/>
      <c r="L362" s="2" t="str">
        <f>=HYPERLINK("http://总邮箱：info@britishschool.uzndre.nel@britishschool.uz咨询：info@britishschool.uz", "总邮箱：info@britishschool.uzndre.nel@britishschool.uz咨询：info@britishschool.uz")</f>
        <v>总邮箱：info@britishschool.uzndre.nel@britishschool.uz咨询：info@britishschool.uz</v>
      </c>
      <c r="M362" t="inlineStr">
        <is>
          <t>+998 (71) 262 6020 / 24</t>
        </is>
      </c>
      <c r="N362" s="3">
        <v>46026</v>
      </c>
      <c r="O362" t="inlineStr">
        <is>
          <t>已联系未回复</t>
        </is>
      </c>
      <c r="P362"/>
      <c r="Q362" t="inlineStr">
        <is>
          <t>上海工商外国语学校-留学生</t>
        </is>
      </c>
      <c r="R362"/>
      <c r="S362"/>
      <c r="T362"/>
    </row>
    <row r="363" ht="25.5" customHeight="1">
      <c r="A363" t="inlineStr">
        <is>
          <t>第十中学Secondary school No. 10-maktab</t>
        </is>
      </c>
      <c r="B363" t="inlineStr">
        <is>
          <t>乌兹别克斯坦</t>
        </is>
      </c>
      <c r="C363" t="inlineStr">
        <is>
          <t>塔什干</t>
        </is>
      </c>
      <c r="D363" t="inlineStr">
        <is>
          <t>公立学校</t>
        </is>
      </c>
      <c r="E363" t="inlineStr">
        <is>
          <t>教育</t>
        </is>
      </c>
      <c r="F363" t="inlineStr">
        <is>
          <t>乌兹别克斯坦塔什干市沙伊洪托胡尔区，科赫-奥塔·拉布扎克街道105号房</t>
        </is>
      </c>
      <c r="G363" s="2" t="str">
        <f>=HYPERLINK("https://10.maktab.uz/en", "https://10.maktab.uz/en")</f>
        <v>https://10.maktab.uz/en</v>
      </c>
      <c r="H363" t="inlineStr">
        <is>
          <t>第十中学是塔什干的一所公立中学，提供从初中到高中的各类学科教育。学校注重学生的学术成就和品德培养，课程涵盖数学、语言、科学和社会学科，并有一定的外语学习项目。该校致力于为学生提供高质量的基础教育，是塔什干市内受欢迎的中学之一。</t>
        </is>
      </c>
      <c r="I363"/>
      <c r="J363"/>
      <c r="K363"/>
      <c r="L363" s="2" t="str">
        <f>=HYPERLINK("mailto:info@maktab.uz", "info@maktab.uz")</f>
        <v>info@maktab.uz</v>
      </c>
      <c r="M363" t="inlineStr">
        <is>
          <t>+99890-930-41-11</t>
        </is>
      </c>
      <c r="N363" s="3">
        <v>46026</v>
      </c>
      <c r="O363" t="inlineStr">
        <is>
          <t>已联系未回复</t>
        </is>
      </c>
      <c r="P363"/>
      <c r="Q363" t="inlineStr">
        <is>
          <t>上海工商外国语学校-留学生</t>
        </is>
      </c>
      <c r="R363"/>
      <c r="S363"/>
      <c r="T363"/>
    </row>
    <row r="364" ht="25.5" customHeight="1">
      <c r="A364" t="inlineStr">
        <is>
          <t>塔什干乌卢格贝克国际学校Tashkent Ulugbek International School</t>
        </is>
      </c>
      <c r="B364" t="inlineStr">
        <is>
          <t>乌兹别克斯坦</t>
        </is>
      </c>
      <c r="C364" t="inlineStr">
        <is>
          <t>塔什干</t>
        </is>
      </c>
      <c r="D364" t="inlineStr">
        <is>
          <t>初中</t>
        </is>
      </c>
      <c r="E364" t="inlineStr">
        <is>
          <t>教育</t>
        </is>
      </c>
      <c r="F364" t="inlineStr">
        <is>
          <t>乌兹别克斯坦塔什干市乌鲁格别克街3/1号</t>
        </is>
      </c>
      <c r="G364" s="2" t="str">
        <f>=HYPERLINK("https://tuis.uz/our-school/welcome/", "https://tuis.uz/our-school/welcome/")</f>
        <v>https://tuis.uz/our-school/welcome/</v>
      </c>
      <c r="H364" t="inlineStr">
        <is>
          <t>塔什干乌卢格贝克国际学校是一所国际化的教育机构，提供英文授课的学术课程，课程设置覆盖从小学到高中。学校以培养具有国际视野的学生为目标，注重科学、人文学科以及外语的学习。学校的设施先进，教学质量优良，是塔什干地区外籍家庭和本地家庭的热门选择。</t>
        </is>
      </c>
      <c r="I364"/>
      <c r="J364"/>
      <c r="K364"/>
      <c r="L364" s="2" t="str">
        <f>=HYPERLINK("mailto:info@tuis.uz", "info@tuis.uz")</f>
        <v>info@tuis.uz</v>
      </c>
      <c r="M364" t="inlineStr">
        <is>
          <t>998712805681</t>
        </is>
      </c>
      <c r="N364" s="3">
        <v>46026</v>
      </c>
      <c r="O364" t="inlineStr">
        <is>
          <t>已联系未回复</t>
        </is>
      </c>
      <c r="P364"/>
      <c r="Q364" t="inlineStr">
        <is>
          <t>上海工商外国语学校-留学生</t>
        </is>
      </c>
      <c r="R364"/>
      <c r="S364"/>
      <c r="T364"/>
    </row>
    <row r="365" ht="25.5" customHeight="1">
      <c r="A365" t="inlineStr">
        <is>
          <t>贾拉勒丁国际学校Jalaliddin International School</t>
        </is>
      </c>
      <c r="B365" t="inlineStr">
        <is>
          <t>乌兹别克斯坦</t>
        </is>
      </c>
      <c r="C365" t="inlineStr">
        <is>
          <t>吉扎克市</t>
        </is>
      </c>
      <c r="D365" t="inlineStr">
        <is>
          <t>初中</t>
        </is>
      </c>
      <c r="E365" t="inlineStr">
        <is>
          <t>教育</t>
        </is>
      </c>
      <c r="F365" t="inlineStr">
        <is>
          <t>乌兹别克斯坦吉扎克州吉扎克市</t>
        </is>
      </c>
      <c r="G365" s="2" t="str">
        <f>=HYPERLINK("https://jalaliddin.uz/", "https://jalaliddin.uz/")</f>
        <v>https://jalaliddin.uz/</v>
      </c>
      <c r="H365" t="inlineStr">
        <is>
          <t>贾拉勒丁国际学校是一所位于乌兹别克斯坦吉扎克地区的国际学校，提供多元文化教育。学校秉持全球化教育理念，开设从幼儿园到高中的课程，并且注重语言能力、科技教育和社会责任的培养。贾拉勒丁国际学校为学生提供一个多语言、多文化的学习环境，为学生的全面发展提供良好的支持。</t>
        </is>
      </c>
      <c r="I365"/>
      <c r="J365"/>
      <c r="K365"/>
      <c r="L365" s="2" t="str">
        <f>=HYPERLINK("mailto:jalaliddininternationalschool@gmail.com", "jalaliddininternationalschool@gmail.com")</f>
        <v>jalaliddininternationalschool@gmail.com</v>
      </c>
      <c r="M365" t="inlineStr">
        <is>
          <t>+998 90 393 14 14</t>
        </is>
      </c>
      <c r="N365" s="3">
        <v>46026</v>
      </c>
      <c r="O365" t="inlineStr">
        <is>
          <t>已联系未回复</t>
        </is>
      </c>
      <c r="P365"/>
      <c r="Q365" t="inlineStr">
        <is>
          <t>上海工商外国语学校-留学生</t>
        </is>
      </c>
      <c r="R365"/>
      <c r="S365"/>
      <c r="T365"/>
    </row>
    <row r="366" ht="25.5" customHeight="1">
      <c r="A366" t="inlineStr">
        <is>
          <t>阿拉木图国际学校Almaty International School</t>
        </is>
      </c>
      <c r="B366" t="inlineStr">
        <is>
          <t>哈萨克斯坦</t>
        </is>
      </c>
      <c r="C366" t="inlineStr">
        <is>
          <t>阿拉木图</t>
        </is>
      </c>
      <c r="D366" t="inlineStr">
        <is>
          <t>初中</t>
        </is>
      </c>
      <c r="E366" t="inlineStr">
        <is>
          <t>教育</t>
        </is>
      </c>
      <c r="F366" t="inlineStr">
        <is>
          <t>阿拉木图市瑙雷兹巴伊区卡尔卡曼2号小区拜肯·阿希莫夫街185号</t>
        </is>
      </c>
      <c r="G366" s="2" t="str">
        <f>=HYPERLINK("https://almaty.qsi.org/", "https://almaty.qsi.org/")</f>
        <v>https://almaty.qsi.org/</v>
      </c>
      <c r="H366" t="inlineStr">
        <is>
          <t>Almaty International School是一所提供从幼儿园到高中的国际化教育机构。学校采用美国课程体系，注重学术成绩和学生的全面发展，特别重视语言、数学、科学和艺术等学科。学校为来自不同文化背景的学生提供多语言教育，培养学生的全球视野和创新能力。</t>
        </is>
      </c>
      <c r="I366"/>
      <c r="J366"/>
      <c r="K366"/>
      <c r="L366" s="2" t="str">
        <f>=HYPERLINK("mailto:almaty@qsi.org", "almaty@qsi.org")</f>
        <v>almaty@qsi.org</v>
      </c>
      <c r="M366" t="inlineStr">
        <is>
          <t>+7(727)381-87-10/11</t>
        </is>
      </c>
      <c r="N366" s="3">
        <v>46026</v>
      </c>
      <c r="O366" t="inlineStr">
        <is>
          <t>已联系未回复</t>
        </is>
      </c>
      <c r="P366"/>
      <c r="Q366" t="inlineStr">
        <is>
          <t>上海工商外国语学校-留学生</t>
        </is>
      </c>
      <c r="R366"/>
      <c r="S366"/>
      <c r="T366"/>
    </row>
    <row r="367" ht="25.5" customHeight="1">
      <c r="A367" t="inlineStr">
        <is>
          <t>光谱国际学校Spectrum International School</t>
        </is>
      </c>
      <c r="B367" t="inlineStr">
        <is>
          <t>哈萨克斯坦</t>
        </is>
      </c>
      <c r="C367" t="inlineStr">
        <is>
          <t>阿斯塔纳</t>
        </is>
      </c>
      <c r="D367" t="inlineStr">
        <is>
          <t>初中</t>
        </is>
      </c>
      <c r="E367" t="inlineStr">
        <is>
          <t>教育</t>
        </is>
      </c>
      <c r="F367" t="inlineStr">
        <is>
          <t>阿斯塔纳市科什卡尔巴耶夫大街11号</t>
        </is>
      </c>
      <c r="G367" s="2" t="str">
        <f>=HYPERLINK("https://spectrum.edu.kz/en", "https://spectrum.edu.kz/en")</f>
        <v>https://spectrum.edu.kz/en</v>
      </c>
      <c r="H367" t="inlineStr">
        <is>
          <t>Spectrum International School是一所提供国际文凭（IB）课程的学校，致力于为学生提供全面的国际化教育。学校提供从小学到高中的教育，强调培养学生的批判性思维、创新精神和跨文化理解。学校的教学语言为英语，适合希望接受全球化教育的学生。</t>
        </is>
      </c>
      <c r="I367"/>
      <c r="J367"/>
      <c r="K367"/>
      <c r="L367" s="2" t="str">
        <f>=HYPERLINK("mailto:admissions@spectrum.edu.kz", "admissions@spectrum.edu.kzinfo@spectrum.edu.kz")</f>
        <v>admissions@spectrum.edu.kzinfo@spectrum.edu.kz</v>
      </c>
      <c r="M367" t="inlineStr">
        <is>
          <t>+7 775 007 31 74</t>
        </is>
      </c>
      <c r="N367" s="3">
        <v>46026</v>
      </c>
      <c r="O367" t="inlineStr">
        <is>
          <t>已联系未回复</t>
        </is>
      </c>
      <c r="P367"/>
      <c r="Q367" t="inlineStr">
        <is>
          <t>上海工商外国语学校-留学生</t>
        </is>
      </c>
      <c r="R367"/>
      <c r="S367"/>
      <c r="T367"/>
    </row>
    <row r="368" ht="25.5" customHeight="1">
      <c r="A368" t="inlineStr">
        <is>
          <t>纳扎尔巴耶夫知识型学校Nazarbayev Intellectual Schools</t>
        </is>
      </c>
      <c r="B368" t="inlineStr">
        <is>
          <t>哈萨克斯坦</t>
        </is>
      </c>
      <c r="C368" t="inlineStr">
        <is>
          <t>阿斯塔纳</t>
        </is>
      </c>
      <c r="D368" t="inlineStr">
        <is>
          <t>初中</t>
        </is>
      </c>
      <c r="E368" t="inlineStr">
        <is>
          <t>教育</t>
        </is>
      </c>
      <c r="F368" t="inlineStr">
        <is>
          <t>哈萨克斯坦共和国阿斯塔纳市侯赛因·本·塔拉勒街21/1号，邮编010000</t>
        </is>
      </c>
      <c r="G368" s="2" t="str">
        <f>=HYPERLINK("https://www.nis.edu.kz/", "https://www.nis.edu.kz/")</f>
        <v>https://www.nis.edu.kz/</v>
      </c>
      <c r="H368" t="inlineStr">
        <is>
          <t>Nazarbayev Intellectual Schools由哈萨克斯坦政府创建，旨在培养未来的创新型领袖。学校提供从初中到高中的课程，注重数学、科学和外语的教育。NIS 提供严谨的学术教育，并有强大的师资力量，是哈萨克斯坦最具声望的精英学校之一。</t>
        </is>
      </c>
      <c r="I368"/>
      <c r="J368"/>
      <c r="K368"/>
      <c r="L368" s="2" t="str">
        <f>=HYPERLINK("mailto:info@nis.edu.kz", "info@nis.edu.kz")</f>
        <v>info@nis.edu.kz</v>
      </c>
      <c r="M368" t="inlineStr">
        <is>
          <t>8 (800) 080 00 95</t>
        </is>
      </c>
      <c r="N368" s="3">
        <v>46026</v>
      </c>
      <c r="O368" t="inlineStr">
        <is>
          <t>已联系未回复</t>
        </is>
      </c>
      <c r="P368"/>
      <c r="Q368" t="inlineStr">
        <is>
          <t>上海工商外国语学校-留学生</t>
        </is>
      </c>
      <c r="R368"/>
      <c r="S368"/>
      <c r="T368"/>
    </row>
    <row r="369" ht="25.5" customHeight="1">
      <c r="A369" t="inlineStr">
        <is>
          <t>哈萨克斯坦国际学校Kazakhstan International School</t>
        </is>
      </c>
      <c r="B369" t="inlineStr">
        <is>
          <t>哈萨克斯坦</t>
        </is>
      </c>
      <c r="C369" t="inlineStr">
        <is>
          <t>阿拉木图</t>
        </is>
      </c>
      <c r="D369" t="inlineStr">
        <is>
          <t>初中</t>
        </is>
      </c>
      <c r="E369" t="inlineStr">
        <is>
          <t>教育</t>
        </is>
      </c>
      <c r="F369" t="inlineStr">
        <is>
          <t>阿拉木图市法拉比大道118/15号，邮编050044</t>
        </is>
      </c>
      <c r="G369" s="2" t="str">
        <f>=HYPERLINK("https://www.kisnet.org/", "https://www.kisnet.org/")</f>
        <v>https://www.kisnet.org/</v>
      </c>
      <c r="H369" t="inlineStr">
        <is>
          <t>Kazakhstan International School是一所提供国际文凭（IB）课程的学校，教育涵盖从幼儿园到高中的各个阶段。学校注重多文化教育和语言能力的培养，提供全英语授课的学术课程，适合寻求国际化教育的学生。</t>
        </is>
      </c>
      <c r="I369"/>
      <c r="J369"/>
      <c r="K369"/>
      <c r="L369" s="2" t="str">
        <f>=HYPERLINK("mailto:almaty.admissions@kisnet.org", "almaty.admissions@kisnet.org")</f>
        <v>almaty.admissions@kisnet.org</v>
      </c>
      <c r="M369" t="inlineStr">
        <is>
          <t>+7 (727) 356 5000</t>
        </is>
      </c>
      <c r="N369" s="3">
        <v>46026</v>
      </c>
      <c r="O369" t="inlineStr">
        <is>
          <t>已联系未回复</t>
        </is>
      </c>
      <c r="P369"/>
      <c r="Q369" t="inlineStr">
        <is>
          <t>上海工商外国语学校-留学生</t>
        </is>
      </c>
      <c r="R369"/>
      <c r="S369"/>
      <c r="T369"/>
    </row>
    <row r="370" ht="25.5" customHeight="1">
      <c r="A370" t="inlineStr">
        <is>
          <t>阿尔法拉比哈萨克国立大学孔子学院Confucius Institute at Al-Farabi Kazakh National University</t>
        </is>
      </c>
      <c r="B370" t="inlineStr">
        <is>
          <t>哈萨克斯坦</t>
        </is>
      </c>
      <c r="C370" t="inlineStr">
        <is>
          <t>阿拉木图 (Almaty)</t>
        </is>
      </c>
      <c r="D370" t="inlineStr">
        <is>
          <t>初中</t>
        </is>
      </c>
      <c r="E370" t="inlineStr">
        <is>
          <t>教育</t>
        </is>
      </c>
      <c r="F370" t="inlineStr">
        <is>
          <t>哈萨克斯坦阿拉木图市法拉比大街71号，法拉比哈萨克国立大学</t>
        </is>
      </c>
      <c r="G370" s="2" t="str">
        <f>=HYPERLINK("https://www.kaznu.kz/en/19134", "https://www.kaznu.kz/en/19134")</f>
        <v>https://www.kaznu.kz/en/19134</v>
      </c>
      <c r="H370" t="inlineStr">
        <is>
          <t>Confucius Institute at Al-Farabi Kazakh National University致力于推广中文语言和中国文化。作为哈萨克斯坦的主要孔子学院之一，它为当地学生和成年人提供中文课程、文化活动及学术交流。该学院也在哈萨克斯坦的学术圈内发挥着重要作用。</t>
        </is>
      </c>
      <c r="I370"/>
      <c r="J370"/>
      <c r="K370"/>
      <c r="L370" s="2" t="str">
        <f>=HYPERLINK("mailto:confucius@kaznu.kz", "confucius@kaznu.kz")</f>
        <v>confucius@kaznu.kz</v>
      </c>
      <c r="M370" t="inlineStr">
        <is>
          <t>+7 727 377 33 08</t>
        </is>
      </c>
      <c r="N370" s="3">
        <v>46026</v>
      </c>
      <c r="O370" t="inlineStr">
        <is>
          <t>已联系未回复</t>
        </is>
      </c>
      <c r="P370"/>
      <c r="Q370" t="inlineStr">
        <is>
          <t>上海工商外国语学校-留学生</t>
        </is>
      </c>
      <c r="R370"/>
      <c r="S370"/>
      <c r="T370"/>
    </row>
    <row r="371" ht="25.5" customHeight="1">
      <c r="A371" t="inlineStr">
        <is>
          <t>腾格里国际学校Tengri School</t>
        </is>
      </c>
      <c r="B371" t="inlineStr">
        <is>
          <t>哈萨克斯坦</t>
        </is>
      </c>
      <c r="C371" t="inlineStr">
        <is>
          <t>奇姆肯特</t>
        </is>
      </c>
      <c r="D371" t="inlineStr">
        <is>
          <t>初中</t>
        </is>
      </c>
      <c r="E371" t="inlineStr">
        <is>
          <t>教育</t>
        </is>
      </c>
      <c r="F371" t="inlineStr">
        <is>
          <t>奇姆肯特市奥特拉尔小区143号</t>
        </is>
      </c>
      <c r="G371" s="2" t="str">
        <f>=HYPERLINK("https://tengri.edu.kz/", "https://tengri.edu.kz/")</f>
        <v>https://tengri.edu.kz/</v>
      </c>
      <c r="H371" t="inlineStr">
        <is>
          <t>Tengri School提供国际化教育，课程覆盖小学到高中的各个阶段，尤其注重语言学习和多文化教育。学校采用多语言授课，特别在科学、数学和艺术领域有较强的教学优势。腾格里学校旨在培养具有国际视野和创新能力的学生。</t>
        </is>
      </c>
      <c r="I371"/>
      <c r="J371"/>
      <c r="K371"/>
      <c r="L371" s="2" t="str">
        <f>=HYPERLINK("mailto:tengri.tis@mail.ru", "tengri.tis@mail.ru")</f>
        <v>tengri.tis@mail.ru</v>
      </c>
      <c r="M371" t="inlineStr">
        <is>
          <t>+77012249404</t>
        </is>
      </c>
      <c r="N371" s="3">
        <v>46026</v>
      </c>
      <c r="O371" t="inlineStr">
        <is>
          <t>已联系未回复</t>
        </is>
      </c>
      <c r="P371"/>
      <c r="Q371" t="inlineStr">
        <is>
          <t>上海工商外国语学校-留学生</t>
        </is>
      </c>
      <c r="R371"/>
      <c r="S371"/>
      <c r="T371"/>
    </row>
    <row r="372" ht="25.5" customHeight="1">
      <c r="A372" t="inlineStr">
        <is>
          <t>辉煌学校Sekolah Pelita Harapan</t>
        </is>
      </c>
      <c r="B372" t="inlineStr">
        <is>
          <t>印度尼西亚</t>
        </is>
      </c>
      <c r="C372" t="inlineStr">
        <is>
          <t>坦格朗市</t>
        </is>
      </c>
      <c r="D372" t="inlineStr">
        <is>
          <t>初中</t>
        </is>
      </c>
      <c r="E372" t="inlineStr">
        <is>
          <t>教育</t>
        </is>
      </c>
      <c r="F372" t="inlineStr">
        <is>
          <t>坦格朗市Lippo村Palem Raya大道2500号，邮编15810</t>
        </is>
      </c>
      <c r="G372" s="2" t="str">
        <f>=HYPERLINK("https://sph.edu/", "https://sph.edu/")</f>
        <v>https://sph.edu/</v>
      </c>
      <c r="H372" t="inlineStr">
        <is>
          <t>Sekolah Pelita Harapan（辉煌学校）是印尼最具声望的私立国际学校之一，成立于1993年。学校提供从幼儿园到高中的教育，旨在为学生提供卓越的学术教育和个人发展。学校秉持基督教教育理念，提供国际文凭（IB）课程和印尼国家课程，致力于培养具有全球视野和社会责任感的学生。学校注重学术、艺术和体育的平衡发展，鼓励学生全面成长。</t>
        </is>
      </c>
      <c r="I372"/>
      <c r="J372"/>
      <c r="K372"/>
      <c r="L372" s="2" t="str">
        <f>=HYPERLINK("http://admission-lv@sph.ac.id", "admission-lv@sph.ac.id")</f>
        <v>admission-lv@sph.ac.id</v>
      </c>
      <c r="M372" t="inlineStr">
        <is>
          <t>+62215460234</t>
        </is>
      </c>
      <c r="N372" s="3">
        <v>46026</v>
      </c>
      <c r="O372" t="inlineStr">
        <is>
          <t>已联系未回复</t>
        </is>
      </c>
      <c r="P372"/>
      <c r="Q372" t="inlineStr">
        <is>
          <t>上海工商外国语学校-留学生</t>
        </is>
      </c>
      <c r="R372"/>
      <c r="S372"/>
      <c r="T372"/>
    </row>
    <row r="373" ht="25.5" customHeight="1">
      <c r="A373" t="inlineStr">
        <is>
          <t>全球嘉雅学校Global Jaya School</t>
        </is>
      </c>
      <c r="B373" t="inlineStr">
        <is>
          <t>印度尼西亚</t>
        </is>
      </c>
      <c r="C373" t="inlineStr">
        <is>
          <t>坦格朗市</t>
        </is>
      </c>
      <c r="D373" t="inlineStr">
        <is>
          <t>初中</t>
        </is>
      </c>
      <c r="E373" t="inlineStr">
        <is>
          <t>教育</t>
        </is>
      </c>
      <c r="F373" t="inlineStr">
        <is>
          <t>坦格朗市Bintaro Jaya第9区Emerald大道</t>
        </is>
      </c>
      <c r="G373" s="2" t="str">
        <f>=HYPERLINK("http://www.globaljaya.com/", "www.globaljaya.com")</f>
        <v>www.globaljaya.com</v>
      </c>
      <c r="H373" t="inlineStr">
        <is>
          <t>Global Jaya School（全球嘉雅学校）成立于1995年，位于雅加达，是一所提供国际文凭（IB）课程的学校。学校致力于为学生提供全面的教育体验，培养具有国际化视野的全球公民。学校的教育理念注重知识、技能和品格的全面发展，强调创新和批判性思维。学校为学生提供从学前教育到高中阶段的国际化课程，致力于为学生进入世界顶级大学打下坚实的基础。</t>
        </is>
      </c>
      <c r="I373"/>
      <c r="J373"/>
      <c r="K373"/>
      <c r="L373" s="2" t="str">
        <f>=HYPERLINK("mailto:admission@globaljaya.com", "admission@globaljaya.com")</f>
        <v>admission@globaljaya.com</v>
      </c>
      <c r="M373" t="inlineStr">
        <is>
          <t xml:space="preserve">021-7457-7562 </t>
        </is>
      </c>
      <c r="N373" s="3">
        <v>46026</v>
      </c>
      <c r="O373" t="inlineStr">
        <is>
          <t>已联系未回复</t>
        </is>
      </c>
      <c r="P373"/>
      <c r="Q373" t="inlineStr">
        <is>
          <t>上海工商外国语学校-留学生</t>
        </is>
      </c>
      <c r="R373"/>
      <c r="S373"/>
      <c r="T373"/>
    </row>
    <row r="374" ht="25.5" customHeight="1">
      <c r="A374" t="inlineStr">
        <is>
          <t>奇普特拉学校Sekolah Ciputra</t>
        </is>
      </c>
      <c r="B374" t="inlineStr">
        <is>
          <t>印度尼西亚</t>
        </is>
      </c>
      <c r="C374" t="inlineStr">
        <is>
          <t>泗水市</t>
        </is>
      </c>
      <c r="D374" t="inlineStr">
        <is>
          <t>初中</t>
        </is>
      </c>
      <c r="E374" t="inlineStr">
        <is>
          <t>教育</t>
        </is>
      </c>
      <c r="F374" t="inlineStr">
        <is>
          <t>印度尼西亚CitraLand，Puri Widya Kencana，邮编60213</t>
        </is>
      </c>
      <c r="G374" s="2" t="str">
        <f>=HYPERLINK("https://www.sekolahciputra.sch.id/", "https://www.sekolahciputra.sch.id/")</f>
        <v>https://www.sekolahciputra.sch.id/</v>
      </c>
      <c r="H374" t="inlineStr">
        <is>
          <t>Sekolah Ciputra（奇普特拉学校）成立于2001年，位于雅加达，是由印尼著名企业家 Ciputra 创办的学校。学校以创新和创业教育为核心，提供从幼儿园到高中的国际课程。奇普特拉学校注重培养学生的创业精神和领导力，特别是在商学和科技领域。学校为学生提供跨学科的教育，强调实践与理论的结合，学生不仅在学术方面得到锻炼，还能在创业和创新方面取得成就。</t>
        </is>
      </c>
      <c r="I374"/>
      <c r="J374"/>
      <c r="K374"/>
      <c r="L374" s="2" t="str">
        <f>=HYPERLINK("mailto:info-sc@sekolahciputra.sch.id", "info-sc@sekolahciputra.sch.id")</f>
        <v>info-sc@sekolahciputra.sch.id</v>
      </c>
      <c r="M374" t="inlineStr">
        <is>
          <t>电话：031 21001716
WhatsApp：+62 822 9944 9600</t>
        </is>
      </c>
      <c r="N374" s="3">
        <v>46026</v>
      </c>
      <c r="O374" t="inlineStr">
        <is>
          <t>已联系未回复</t>
        </is>
      </c>
      <c r="P374"/>
      <c r="Q374" t="inlineStr">
        <is>
          <t>上海工商外国语学校-留学生</t>
        </is>
      </c>
      <c r="R374"/>
      <c r="S374"/>
      <c r="T374"/>
    </row>
    <row r="375" ht="25.5" customHeight="1">
      <c r="A375" t="inlineStr">
        <is>
          <t>年轻树苗学校Tunas Muda School</t>
        </is>
      </c>
      <c r="B375" t="inlineStr">
        <is>
          <t>印度尼西亚</t>
        </is>
      </c>
      <c r="C375" t="inlineStr">
        <is>
          <t>雅加达市</t>
        </is>
      </c>
      <c r="D375" t="inlineStr">
        <is>
          <t>初中</t>
        </is>
      </c>
      <c r="E375" t="inlineStr">
        <is>
          <t>教育</t>
        </is>
      </c>
      <c r="F375" t="inlineStr">
        <is>
          <t>Meruya学校
雅加达市Kembangan区Meruya Utara Raya街71号，邮编11620
Kedoya学校
雅加达市Kedoya区Taman Kedoya Baru，Angsana Raya街D8/2号，邮编11520</t>
        </is>
      </c>
      <c r="G375" s="2" t="str">
        <f>=HYPERLINK("https://www.tunasmuda.sch.id/index.php", "https://www.tunasmuda.sch.id/index.php")</f>
        <v>https://www.tunasmuda.sch.id/index.php</v>
      </c>
      <c r="H375" t="inlineStr">
        <is>
          <t>Tunas Muda School（年轻树苗学校）是一所注重全面发展的私立学校，位于雅加达。学校提供从学前教育到高中的课程，致力于为学生提供国际化的教育体验。学校注重培养学生的创新思维、批判性思维和全球公民意识，强调个性化学习和全面发展。学校的教学语言为英语，同时也注重中文和印尼语的教学，旨在为学生提供多元文化的学习体验。</t>
        </is>
      </c>
      <c r="I375"/>
      <c r="J375"/>
      <c r="K375"/>
      <c r="L375" s="2" t="str">
        <f>=HYPERLINK("http://Meruya School：cservice@tunasmuda.sch.idcsKedoya School：ervice@tunasmuda.sch.id", "Meruya School：cservice@tunasmuda.sch.idcsKedoya School：ervice@tunasmuda.sch.id")</f>
        <v>Meruya School：cservice@tunasmuda.sch.idcsKedoya School：ervice@tunasmuda.sch.id</v>
      </c>
      <c r="M375" t="inlineStr">
        <is>
          <t>Meruya School：+62 (21) 587 03 29
Kedoya School：+62 (21) 581 87 66</t>
        </is>
      </c>
      <c r="N375" s="3">
        <v>46026</v>
      </c>
      <c r="O375" t="inlineStr">
        <is>
          <t>已联系未回复</t>
        </is>
      </c>
      <c r="P375"/>
      <c r="Q375" t="inlineStr">
        <is>
          <t>上海工商外国语学校-留学生</t>
        </is>
      </c>
      <c r="R375"/>
      <c r="S375"/>
      <c r="T375"/>
    </row>
    <row r="376" ht="25.5" customHeight="1">
      <c r="A376" t="inlineStr">
        <is>
          <t>雅加达英华学校ACS (Anglo-Chinese School) – Jakarta</t>
        </is>
      </c>
      <c r="B376" t="inlineStr">
        <is>
          <t>印度尼西亚</t>
        </is>
      </c>
      <c r="C376" t="inlineStr">
        <is>
          <t>雅加达市</t>
        </is>
      </c>
      <c r="D376" t="inlineStr">
        <is>
          <t>初中</t>
        </is>
      </c>
      <c r="E376" t="inlineStr">
        <is>
          <t>教育</t>
        </is>
      </c>
      <c r="F376" t="inlineStr">
        <is>
          <t>地址1：东雅加达Cilangkap区Setu
地址2：万丹省南坦格朗市BSD城，BSD Niaga Timur街N-09号，邮编15858</t>
        </is>
      </c>
      <c r="G376" s="2" t="str">
        <f>=HYPERLINK("https://www.acsjakarta.sch.id/", "https://www.acsjakarta.sch.id/")</f>
        <v>https://www.acsjakarta.sch.id/</v>
      </c>
      <c r="H376" t="inlineStr">
        <is>
          <t>ACS (Anglo-Chinese School) – Jakarta（雅加达英华学校）是新加坡英华学校的分校，致力于提供高质量的中英双语教育。学校自成立以来，秉承新加坡英华学校的教育理念，注重学生的学术成就与品德修养的培养。学校的课程包括新加坡的A-Level课程以及国际文凭（IB）课程，旨在为学生提供全球化的教育平台。学校还非常注重学生的创新和领导力，鼓励学生在学术和课外活动中全面发展。</t>
        </is>
      </c>
      <c r="I376"/>
      <c r="J376"/>
      <c r="K376"/>
      <c r="L376" s="2" t="str">
        <f>=HYPERLINK("mailto:admission.primary@acsjakarta.sch.id", "admission.primary@acsjakarta.sch.id")</f>
        <v>admission.primary@acsjakarta.sch.id</v>
      </c>
      <c r="M376" t="inlineStr">
        <is>
          <t>+62 21 8459.7175</t>
        </is>
      </c>
      <c r="N376" s="3">
        <v>46026</v>
      </c>
      <c r="O376" t="inlineStr">
        <is>
          <t>已联系未回复</t>
        </is>
      </c>
      <c r="P376"/>
      <c r="Q376" t="inlineStr">
        <is>
          <t>上海工商外国语学校-留学生</t>
        </is>
      </c>
      <c r="R376"/>
      <c r="S376"/>
      <c r="T376"/>
    </row>
    <row r="377" ht="25.5" customHeight="1">
      <c r="A377" t="inlineStr">
        <is>
          <t>邦萨学校Bina Bangsa School</t>
        </is>
      </c>
      <c r="B377" t="inlineStr">
        <is>
          <t>印度尼西亚</t>
        </is>
      </c>
      <c r="C377" t="inlineStr">
        <is>
          <t>雅加达市</t>
        </is>
      </c>
      <c r="D377" t="inlineStr">
        <is>
          <t>初中</t>
        </is>
      </c>
      <c r="E377" t="inlineStr">
        <is>
          <t>教育</t>
        </is>
      </c>
      <c r="F377" t="inlineStr">
        <is>
          <t>中学与初级学院：西雅加达Kebon Jeruk区，Arjuna Sel街87号，邮编11530</t>
        </is>
      </c>
      <c r="G377" s="2" t="str">
        <f>=HYPERLINK("https://binabangsaschool.com/", "https://binabangsaschool.com/")</f>
        <v>https://binabangsaschool.com/</v>
      </c>
      <c r="H377" t="inlineStr">
        <is>
          <t>Bina Bangsa School（邦萨学校）是一所位于雅加达的私立学校，提供从小学到高中的国际教育课程。学校自成立以来，致力于培养学生的学术能力、社会责任感和全球视野。学校提供包括IB课程和印尼国家课程的教育体系，强调全面发展和道德教育。学校非常注重学生的品格教育，致力于为学生提供一个充满关怀和支持的学习环境，让他们成为具有创造力和领导力的全球公民。</t>
        </is>
      </c>
      <c r="I377"/>
      <c r="J377"/>
      <c r="K377"/>
      <c r="L377" s="2" t="str">
        <f>=HYPERLINK("mailto:info@bbs.sch.id", "info@bbs.sch.id")</f>
        <v>info@bbs.sch.id</v>
      </c>
      <c r="M377" t="inlineStr">
        <is>
          <t>+62215328833</t>
        </is>
      </c>
      <c r="N377" s="3">
        <v>46026</v>
      </c>
      <c r="O377" t="inlineStr">
        <is>
          <t>已联系未回复</t>
        </is>
      </c>
      <c r="P377"/>
      <c r="Q377" t="inlineStr">
        <is>
          <t>上海工商外国语学校-留学生</t>
        </is>
      </c>
      <c r="R377"/>
      <c r="S377"/>
      <c r="T377"/>
    </row>
    <row r="378" ht="25.5" customHeight="1">
      <c r="A378" t="inlineStr">
        <is>
          <t>华商世界学院SINARMAS WORLD ACADEMY</t>
        </is>
      </c>
      <c r="B378" t="inlineStr">
        <is>
          <t>印度尼西亚</t>
        </is>
      </c>
      <c r="C378" t="inlineStr">
        <is>
          <t>坦格朗市</t>
        </is>
      </c>
      <c r="D378" t="inlineStr">
        <is>
          <t>初中</t>
        </is>
      </c>
      <c r="E378" t="inlineStr">
        <is>
          <t>教育</t>
        </is>
      </c>
      <c r="F378" t="inlineStr">
        <is>
          <t>坦格朗市BSD城中央商务区XV号地，TM Pahlawan Seribu街，邮编15322</t>
        </is>
      </c>
      <c r="G378" s="2" t="str">
        <f>=HYPERLINK("https://www.swa-jkt.com/", "https://www.swa-jkt.com/")</f>
        <v>https://www.swa-jkt.com/</v>
      </c>
      <c r="H378" t="inlineStr">
        <is>
          <t>SINARMAS WORLD ACADEMY（华商世界学院）是位于印度尼西亚雅加达的一所国际学校，隶属于华商集团。学校提供从幼儿园到高中的全方位教育，采用国际文凭（IB）课程体系，致力于培养具有全球视野和创新能力的学生。华商世界学院注重学术成绩与品德发展相结合，提供多样的课外活动和国际交流机会，帮助学生为未来的大学生活和职业生涯做好准备。</t>
        </is>
      </c>
      <c r="I378"/>
      <c r="J378"/>
      <c r="K378"/>
      <c r="L378" s="2" t="str">
        <f>=HYPERLINK("mailto:admissions@swa-jkt.com", "admissions@swa-jkt.com")</f>
        <v>admissions@swa-jkt.com</v>
      </c>
      <c r="M378" t="inlineStr">
        <is>
          <t>+62 21 5316 1400</t>
        </is>
      </c>
      <c r="N378" s="3">
        <v>46026</v>
      </c>
      <c r="O378" t="inlineStr">
        <is>
          <t>已联系未回复</t>
        </is>
      </c>
      <c r="P378"/>
      <c r="Q378" t="inlineStr">
        <is>
          <t>上海工商外国语学校-留学生</t>
        </is>
      </c>
      <c r="R378"/>
      <c r="S378"/>
      <c r="T378"/>
    </row>
    <row r="379" ht="25.5" customHeight="1">
      <c r="A379" t="inlineStr">
        <is>
          <t>华中初级中学Hwa Chong Institution</t>
        </is>
      </c>
      <c r="B379" t="inlineStr">
        <is>
          <t>新加坡</t>
        </is>
      </c>
      <c r="C379" t="inlineStr">
        <is>
          <t>武吉知马</t>
        </is>
      </c>
      <c r="D379" t="inlineStr">
        <is>
          <t>初中</t>
        </is>
      </c>
      <c r="E379" t="inlineStr">
        <is>
          <t>教育</t>
        </is>
      </c>
      <c r="F379" t="inlineStr">
        <is>
          <t>武吉知马路661号，邮编269734</t>
        </is>
      </c>
      <c r="G379" s="2" t="str">
        <f>=HYPERLINK("https://www.hci.edu.sg/", "https://www.hci.edu.sg/")</f>
        <v>https://www.hci.edu.sg/</v>
      </c>
      <c r="H379" t="inlineStr">
        <is>
          <t>成立于1919年，位于新加坡中部武吉知马一带，是新加坡最具代表性的华文传统名校之一。其初中部在学术严谨性、双语教育和人才培养方面具有明显优势，长期重视中华文化与现代教育的融合，对中国持开放、理性且积极的交流态度，在课程设置和国际项目中强调亚洲视角、学术深度与全球竞争力。</t>
        </is>
      </c>
      <c r="I379"/>
      <c r="J379"/>
      <c r="K379"/>
      <c r="L379" s="2" t="str">
        <f>=HYPERLINK("mailto:admin@hci.edu.sg", "admin@hci.edu.sg")</f>
        <v>admin@hci.edu.sg</v>
      </c>
      <c r="M379" t="inlineStr">
        <is>
          <t>6468 3955</t>
        </is>
      </c>
      <c r="N379" s="3">
        <v>46026</v>
      </c>
      <c r="O379" t="inlineStr">
        <is>
          <t>已联系未回复</t>
        </is>
      </c>
      <c r="P379"/>
      <c r="Q379" t="inlineStr">
        <is>
          <t>上海工商外国语学校-留学生</t>
        </is>
      </c>
      <c r="R379"/>
      <c r="S379"/>
      <c r="T379"/>
    </row>
    <row r="380" ht="25.5" customHeight="1">
      <c r="A380" t="inlineStr">
        <is>
          <t>南洋女子中学Nanyang Girls’ High School</t>
        </is>
      </c>
      <c r="B380" t="inlineStr">
        <is>
          <t>新加坡</t>
        </is>
      </c>
      <c r="C380" t="inlineStr">
        <is>
          <t>武吉知马/荷兰村</t>
        </is>
      </c>
      <c r="D380" t="inlineStr">
        <is>
          <t>初中</t>
        </is>
      </c>
      <c r="E380" t="inlineStr">
        <is>
          <t>教育</t>
        </is>
      </c>
      <c r="F380" t="inlineStr">
        <is>
          <t>林登道2号，邮编288683</t>
        </is>
      </c>
      <c r="G380" s="2" t="str">
        <f>=HYPERLINK("https://zh.nygh.moe.edu.sg/", "https://zh.nygh.moe.edu.sg/")</f>
        <v>https://zh.nygh.moe.edu.sg/</v>
      </c>
      <c r="H380" t="inlineStr">
        <is>
          <t>成立于1917年，位于新加坡中部大巴窑附近，是一所历史悠久、学术表现突出的女子中学。学校初中部以扎实的学术基础、系统的华文教育和良好的学生自我管理能力见长，对中国文化与教育体系保持高度认可，鼓励学生通过语言与文化交流理解当代中国，并培养具有国际视野的女性领导力。</t>
        </is>
      </c>
      <c r="I380"/>
      <c r="J380"/>
      <c r="K380"/>
      <c r="L380" s="2" t="str">
        <f>=HYPERLINK("mailto:nanyanggirls@nygh.edu.sg", "nanyanggirls@nygh.edu.sg")</f>
        <v>nanyanggirls@nygh.edu.sg</v>
      </c>
      <c r="M380" t="inlineStr">
        <is>
          <t>(65) 6466 3275</t>
        </is>
      </c>
      <c r="N380" s="3">
        <v>46026</v>
      </c>
      <c r="O380" t="inlineStr">
        <is>
          <t>已联系未回复</t>
        </is>
      </c>
      <c r="P380"/>
      <c r="Q380" t="inlineStr">
        <is>
          <t>上海工商外国语学校-留学生</t>
        </is>
      </c>
      <c r="R380"/>
      <c r="S380"/>
      <c r="T380"/>
    </row>
    <row r="381" ht="25.5" customHeight="1">
      <c r="A381" t="inlineStr">
        <is>
          <t>艾哈迈德·易卜拉欣中学Ahmad Ibrahim Secondary School</t>
        </is>
      </c>
      <c r="B381" t="inlineStr">
        <is>
          <t>新加坡</t>
        </is>
      </c>
      <c r="C381" t="inlineStr">
        <is>
          <t>义顺</t>
        </is>
      </c>
      <c r="D381" t="inlineStr">
        <is>
          <t>初中</t>
        </is>
      </c>
      <c r="E381" t="inlineStr">
        <is>
          <t>教育</t>
        </is>
      </c>
      <c r="F381" t="inlineStr">
        <is>
          <t>义顺7道751号，邮编768928</t>
        </is>
      </c>
      <c r="G381" s="2" t="str">
        <f>=HYPERLINK("https://www.ahmadibrahimsec.moe.edu.sg/", "https://www.ahmadibrahimsec.moe.edu.sg/")</f>
        <v>https://www.ahmadibrahimsec.moe.edu.sg/</v>
      </c>
      <c r="H381" t="inlineStr">
        <is>
          <t>成立于1957年，位于新加坡北部义顺地区，是一所多元文化特色鲜明的政府中学。其初中阶段优势在于包容性的校园文化与实践导向的课程设计，对中国持务实、开放的教育视角，关注中国在科技、经济与区域发展中的角色，并引导学生以全球化思维理解中国与亚洲。</t>
        </is>
      </c>
      <c r="I381"/>
      <c r="J381"/>
      <c r="K381"/>
      <c r="L381" s="2" t="str">
        <f>=HYPERLINK("mailto:aiss@moe.edu.sg", "aiss@moe.edu.sg")</f>
        <v>aiss@moe.edu.sg</v>
      </c>
      <c r="M381" t="inlineStr">
        <is>
          <t>6758 5384</t>
        </is>
      </c>
      <c r="N381" s="3">
        <v>46026</v>
      </c>
      <c r="O381" t="inlineStr">
        <is>
          <t>已联系未回复</t>
        </is>
      </c>
      <c r="P381"/>
      <c r="Q381" t="inlineStr">
        <is>
          <t>上海工商外国语学校-留学生</t>
        </is>
      </c>
      <c r="R381"/>
      <c r="S381"/>
      <c r="T381"/>
    </row>
    <row r="382" ht="25.5" customHeight="1">
      <c r="A382" t="inlineStr">
        <is>
          <t>安德森中学Anderson Secondary School</t>
        </is>
      </c>
      <c r="B382" t="inlineStr">
        <is>
          <t>新加坡</t>
        </is>
      </c>
      <c r="C382" t="inlineStr">
        <is>
          <t>宏茂桥</t>
        </is>
      </c>
      <c r="D382" t="inlineStr">
        <is>
          <t>初中</t>
        </is>
      </c>
      <c r="E382" t="inlineStr">
        <is>
          <t>教育</t>
        </is>
      </c>
      <c r="F382" t="inlineStr">
        <is>
          <t>宏茂桥53街10号，邮编569206</t>
        </is>
      </c>
      <c r="G382" s="2" t="str">
        <f>=HYPERLINK("http://www.andersonsec.moe.edu.sg/", "http://www.andersonsec.moe.edu.sg")</f>
        <v>http://www.andersonsec.moe.edu.sg</v>
      </c>
      <c r="H382" t="inlineStr">
        <is>
          <t>成立于1960年，位于新加坡中北部宏茂桥一带，以稳定的学术成绩和重视学生全面发展而著称。学校初中部在学科基础、品格教育和师生支持体系方面具有优势，对中国采取理性、尊重的态度，在国际理解教育中将中国视为亚洲重要组成部分，强调文化认知与全球意识的培养。</t>
        </is>
      </c>
      <c r="I382"/>
      <c r="J382"/>
      <c r="K382"/>
      <c r="L382" s="2" t="str">
        <f>=HYPERLINK("mailto:anderson_ss@moe.edu.sg", "anderson_ss@moe.edu.sg")</f>
        <v>anderson_ss@moe.edu.sg</v>
      </c>
      <c r="M382" t="inlineStr">
        <is>
          <t>6459 8303</t>
        </is>
      </c>
      <c r="N382" s="3">
        <v>46026</v>
      </c>
      <c r="O382" t="inlineStr">
        <is>
          <t>已联系未回复</t>
        </is>
      </c>
      <c r="P382"/>
      <c r="Q382" t="inlineStr">
        <is>
          <t>上海工商外国语学校-留学生</t>
        </is>
      </c>
      <c r="R382"/>
      <c r="S382"/>
      <c r="T382"/>
    </row>
    <row r="383" ht="25.5" customHeight="1">
      <c r="A383" t="inlineStr">
        <is>
          <t>宏茂桥中学Ang Mo Kio Secondary School</t>
        </is>
      </c>
      <c r="B383" t="inlineStr">
        <is>
          <t>新加坡</t>
        </is>
      </c>
      <c r="C383" t="inlineStr">
        <is>
          <t>宏茂桥</t>
        </is>
      </c>
      <c r="D383" t="inlineStr">
        <is>
          <t>初中</t>
        </is>
      </c>
      <c r="E383" t="inlineStr">
        <is>
          <t>教育</t>
        </is>
      </c>
      <c r="F383" t="inlineStr">
        <is>
          <t>宏茂桥22街6号，邮编569362</t>
        </is>
      </c>
      <c r="G383" s="2" t="str">
        <f>=HYPERLINK("http://www.angmokiosec.moe.edu.sg/", "http://www.angmokiosec.moe.edu.sg")</f>
        <v>http://www.angmokiosec.moe.edu.sg</v>
      </c>
      <c r="H383" t="inlineStr">
        <is>
          <t>成立于1956年，位于新加坡中部宏茂桥镇，是一所社区基础扎实、教学体系成熟的政府中学。初中部在学生关怀、课程落实和多元发展方面具有优势，对中国整体持友好和务实的看法，在教育实践中认可中国文化的影响力，同时强调国际公民意识。</t>
        </is>
      </c>
      <c r="I383"/>
      <c r="J383"/>
      <c r="K383"/>
      <c r="L383" s="2" t="str">
        <f>=HYPERLINK("mailto:amkss@moe.edu.sg", "amkss@moe.edu.sg")</f>
        <v>amkss@moe.edu.sg</v>
      </c>
      <c r="M383" t="inlineStr">
        <is>
          <t>6454 8605</t>
        </is>
      </c>
      <c r="N383" s="3">
        <v>46026</v>
      </c>
      <c r="O383" t="inlineStr">
        <is>
          <t>已联系未回复</t>
        </is>
      </c>
      <c r="P383"/>
      <c r="Q383" t="inlineStr">
        <is>
          <t>上海工商外国语学校-留学生</t>
        </is>
      </c>
      <c r="R383"/>
      <c r="S383"/>
      <c r="T383"/>
    </row>
    <row r="384" ht="25.5" customHeight="1">
      <c r="A384" t="inlineStr">
        <is>
          <t xml:space="preserve">圣公会高中Anglican High School  </t>
        </is>
      </c>
      <c r="B384" t="inlineStr">
        <is>
          <t>新加坡</t>
        </is>
      </c>
      <c r="C384" t="inlineStr">
        <is>
          <t>樟宜</t>
        </is>
      </c>
      <c r="D384" t="inlineStr">
        <is>
          <t>初中</t>
        </is>
      </c>
      <c r="E384" t="inlineStr">
        <is>
          <t>教育</t>
        </is>
      </c>
      <c r="F384" t="inlineStr">
        <is>
          <t>上樟宜路600号，邮编487012</t>
        </is>
      </c>
      <c r="G384" s="2" t="str">
        <f>=HYPERLINK("http://www.anglicanhigh.moe.edu.sg/", "http://www.anglicanhigh.moe.edu.sg")</f>
        <v>http://www.anglicanhigh.moe.edu.sg</v>
      </c>
      <c r="H384" t="inlineStr">
        <is>
          <t>成立于1956年，位于新加坡东部，是一所兼具学术实力与华文传统的政府辅助学校。其初中部优势在于系统的双语课程、稳定的学术表现和良好的校风，对中国文化和教育传统保持高度认同，在国际交流理念上强调与中国的文化连结与长期合作潜力。</t>
        </is>
      </c>
      <c r="I384"/>
      <c r="J384"/>
      <c r="K384"/>
      <c r="L384" s="2" t="str">
        <f>=HYPERLINK("mailto:ahs@moe.edu.sg", "ahs@moe.edu.sg")</f>
        <v>ahs@moe.edu.sg</v>
      </c>
      <c r="M384" t="inlineStr">
        <is>
          <t>6241 4866</t>
        </is>
      </c>
      <c r="N384" s="3">
        <v>46026</v>
      </c>
      <c r="O384" t="inlineStr">
        <is>
          <t>已联系未回复</t>
        </is>
      </c>
      <c r="P384"/>
      <c r="Q384" t="inlineStr">
        <is>
          <t>上海工商外国语学校-留学生</t>
        </is>
      </c>
      <c r="R384"/>
      <c r="S384"/>
      <c r="T384"/>
    </row>
    <row r="385" ht="25.5" customHeight="1">
      <c r="A385" t="inlineStr">
        <is>
          <t>华侨中学Hwa Chong Institution (Secondary)</t>
        </is>
      </c>
      <c r="B385" t="inlineStr">
        <is>
          <t>新加坡</t>
        </is>
      </c>
      <c r="C385" t="inlineStr">
        <is>
          <t>武吉知马</t>
        </is>
      </c>
      <c r="D385" t="inlineStr">
        <is>
          <t>初中</t>
        </is>
      </c>
      <c r="E385" t="inlineStr">
        <is>
          <t>教育</t>
        </is>
      </c>
      <c r="F385" t="inlineStr">
        <is>
          <t>武吉知马路661号，邮编269734</t>
        </is>
      </c>
      <c r="G385" s="2" t="str">
        <f>=HYPERLINK("https://www.hci.edu.sg/", "https://www.hci.edu.sg/")</f>
        <v>https://www.hci.edu.sg/</v>
      </c>
      <c r="H385" t="inlineStr">
        <is>
          <t>成立于1919年，位于新加坡中部武吉知马地区，是新加坡顶尖的直通车中学之一。初中部在学术深度、竞赛培养和人才选拔方面优势突出，对中国持系统性、学术型的关注态度，既重视中华文化传承，也强调以国际标准理解中国的现代化进程。</t>
        </is>
      </c>
      <c r="I385"/>
      <c r="J385"/>
      <c r="K385"/>
      <c r="L385" s="2" t="str">
        <f>=HYPERLINK("mailto:admin@hci.edu.sg", "admin@hci.edu.sg")</f>
        <v>admin@hci.edu.sg</v>
      </c>
      <c r="M385" t="inlineStr">
        <is>
          <t>6468 3955</t>
        </is>
      </c>
      <c r="N385" s="3">
        <v>46026</v>
      </c>
      <c r="O385" t="inlineStr">
        <is>
          <t>已联系未回复</t>
        </is>
      </c>
      <c r="P385"/>
      <c r="Q385" t="inlineStr">
        <is>
          <t>上海工商外国语学校-留学生</t>
        </is>
      </c>
      <c r="R385"/>
      <c r="S385"/>
      <c r="T385"/>
    </row>
    <row r="386" ht="25.5" customHeight="1">
      <c r="A386" t="inlineStr">
        <is>
          <t>河谷中学（中学部）River Valley High School (Secondary)</t>
        </is>
      </c>
      <c r="B386" t="inlineStr">
        <is>
          <t>新加坡</t>
        </is>
      </c>
      <c r="C386" t="inlineStr">
        <is>
          <t>文礼/裕廊西</t>
        </is>
      </c>
      <c r="D386" t="inlineStr">
        <is>
          <t>初中</t>
        </is>
      </c>
      <c r="E386" t="inlineStr">
        <is>
          <t>教育</t>
        </is>
      </c>
      <c r="F386" t="inlineStr">
        <is>
          <t>文礼道6号，邮编649961</t>
        </is>
      </c>
      <c r="G386" s="2" t="str">
        <f>=HYPERLINK("https://rivervalleyhigh.moe.edu.sg/", "https://rivervalleyhigh.moe.edu.sg/")</f>
        <v>https://rivervalleyhigh.moe.edu.sg/</v>
      </c>
      <c r="H386" t="inlineStr">
        <is>
          <t>成立于1956年，位于新加坡中部女皇镇附近，是一所实行六年制直通课程的政府中学。其初中部以学术连续性强、课程规划清晰见长，对中国持积极且理性的态度，在华文教育与亚洲研究方面基础扎实，强调理解中国在区域与全球中的角色。</t>
        </is>
      </c>
      <c r="I386"/>
      <c r="J386"/>
      <c r="K386"/>
      <c r="L386" s="2" t="str">
        <f>=HYPERLINK("mailto:rvhs@moe.edu.sg", "rvhs@moe.edu.sg")</f>
        <v>rvhs@moe.edu.sg</v>
      </c>
      <c r="M386" t="inlineStr">
        <is>
          <t>6567 8115</t>
        </is>
      </c>
      <c r="N386" s="3">
        <v>46026</v>
      </c>
      <c r="O386" t="inlineStr">
        <is>
          <t>已联系未回复</t>
        </is>
      </c>
      <c r="P386"/>
      <c r="Q386" t="inlineStr">
        <is>
          <t>上海工商外国语学校-留学生</t>
        </is>
      </c>
      <c r="R386"/>
      <c r="S386"/>
      <c r="T386"/>
    </row>
    <row r="387" ht="25.5" customHeight="1">
      <c r="A387" t="inlineStr">
        <is>
          <t>德明中学（中学部）Dunman High School (Secondary)</t>
        </is>
      </c>
      <c r="B387" t="inlineStr">
        <is>
          <t>新加坡</t>
        </is>
      </c>
      <c r="C387" t="inlineStr">
        <is>
          <t>加冷/东海岸</t>
        </is>
      </c>
      <c r="D387" t="inlineStr">
        <is>
          <t>初中</t>
        </is>
      </c>
      <c r="E387" t="inlineStr">
        <is>
          <t>教育</t>
        </is>
      </c>
      <c r="F387" t="inlineStr">
        <is>
          <t>丹戎禺路10号，邮编436895</t>
        </is>
      </c>
      <c r="G387" s="2" t="str">
        <f>=HYPERLINK("http://www.dunmanhigh.moe.edu.sg/", "http://www.dunmanhigh.moe.edu.sg")</f>
        <v>http://www.dunmanhigh.moe.edu.sg</v>
      </c>
      <c r="H387" t="inlineStr">
        <is>
          <t>成立于1956年，位于新加坡东部加冷一带，是一所华文特色鲜明的直通车中学。初中部优势在于深厚的华文传统、稳定的学术成绩和系统化的人才培养模式，对中国保持长期、友好的交流态度，在文化认同与国际视野之间保持良好平衡。</t>
        </is>
      </c>
      <c r="I387"/>
      <c r="J387"/>
      <c r="K387"/>
      <c r="L387" s="2" t="str">
        <f>=HYPERLINK("mailto:dhs@moe.edu.sg", "dhs@moe.edu.sg")</f>
        <v>dhs@moe.edu.sg</v>
      </c>
      <c r="M387" t="inlineStr">
        <is>
          <t>6345 0533</t>
        </is>
      </c>
      <c r="N387" s="3">
        <v>46026</v>
      </c>
      <c r="O387" t="inlineStr">
        <is>
          <t>已联系未回复</t>
        </is>
      </c>
      <c r="P387"/>
      <c r="Q387" t="inlineStr">
        <is>
          <t>上海工商外国语学校-留学生</t>
        </is>
      </c>
      <c r="R387"/>
      <c r="S387"/>
      <c r="T387"/>
    </row>
    <row r="388" ht="25.5" customHeight="1">
      <c r="A388" t="inlineStr">
        <is>
          <t>莱佛士女子中学（中学部）Raffles Girls' School (Secondary)</t>
        </is>
      </c>
      <c r="B388" t="inlineStr">
        <is>
          <t>新加坡</t>
        </is>
      </c>
      <c r="C388" t="inlineStr">
        <is>
          <t>碧山/大巴窑</t>
        </is>
      </c>
      <c r="D388" t="inlineStr">
        <is>
          <t>初中</t>
        </is>
      </c>
      <c r="E388" t="inlineStr">
        <is>
          <t>教育</t>
        </is>
      </c>
      <c r="F388" t="inlineStr">
        <is>
          <t>布莱德岭2号，邮编318871</t>
        </is>
      </c>
      <c r="G388" s="2" t="str">
        <f>=HYPERLINK("http://www.rgs.edu.sg/", "http://www.rgs.edu.sg")</f>
        <v>http://www.rgs.edu.sg</v>
      </c>
      <c r="H388" t="inlineStr">
        <is>
          <t>成立于1879年，位于新加坡中部，是新加坡最具声誉的女子中学之一。其初中部在学术深度、精英培养和国际项目方面具有显著优势，对中国持客观、开放的态度，在全球议题与亚洲研究中将中国视为重要学习对象，强调理性理解与高水平学术交流。</t>
        </is>
      </c>
      <c r="I388"/>
      <c r="J388"/>
      <c r="K388"/>
      <c r="L388" s="2" t="str">
        <f>=HYPERLINK("mailto:rgss@moe.edu.sg", "rgss@moe.edu.sg")</f>
        <v>rgss@moe.edu.sg</v>
      </c>
      <c r="M388" t="inlineStr">
        <is>
          <t>6737 1845</t>
        </is>
      </c>
      <c r="N388" s="3">
        <v>46026</v>
      </c>
      <c r="O388" t="inlineStr">
        <is>
          <t>已联系未回复</t>
        </is>
      </c>
      <c r="P388"/>
      <c r="Q388" t="inlineStr">
        <is>
          <t>上海工商外国语学校-留学生</t>
        </is>
      </c>
      <c r="R388"/>
      <c r="S388"/>
      <c r="T388"/>
    </row>
    <row r="389" ht="25.5" customHeight="1">
      <c r="A389" t="inlineStr">
        <is>
          <t>天主教高中（中学）Catholic High School (Secondary)</t>
        </is>
      </c>
      <c r="B389" t="inlineStr">
        <is>
          <t>新加坡</t>
        </is>
      </c>
      <c r="C389" t="inlineStr">
        <is>
          <t>碧山</t>
        </is>
      </c>
      <c r="D389" t="inlineStr">
        <is>
          <t>初中</t>
        </is>
      </c>
      <c r="E389" t="inlineStr">
        <is>
          <t>教育</t>
        </is>
      </c>
      <c r="F389" t="inlineStr">
        <is>
          <t>碧山22街9号，邮编579767</t>
        </is>
      </c>
      <c r="G389" s="2" t="str">
        <f>=HYPERLINK("http://www.catholichigh.moe.edu.sg/", "http://www.catholichigh.moe.edu.sg")</f>
        <v>http://www.catholichigh.moe.edu.sg</v>
      </c>
      <c r="H389" t="inlineStr">
        <is>
          <t>成立于1935年，位于新加坡中部碧山地区，是一所兼具宗教背景与华文传统的男校。初中部优势在于纪律管理、双语教学和价值观教育，对中国文化高度认可，对中国学生和交流项目持友好态度，强调文化根基与国际责任感并重。</t>
        </is>
      </c>
      <c r="I389"/>
      <c r="J389"/>
      <c r="K389"/>
      <c r="L389" s="2" t="str">
        <f>=HYPERLINK("mailto:chs@moe.edu.sg", "chs@moe.edu.sg")</f>
        <v>chs@moe.edu.sg</v>
      </c>
      <c r="M389" t="inlineStr">
        <is>
          <t>6458 2177</t>
        </is>
      </c>
      <c r="N389" s="3">
        <v>46026</v>
      </c>
      <c r="O389" t="inlineStr">
        <is>
          <t>已联系未回复</t>
        </is>
      </c>
      <c r="P389"/>
      <c r="Q389" t="inlineStr">
        <is>
          <t>上海工商外国语学校-留学生</t>
        </is>
      </c>
      <c r="R389"/>
      <c r="S389"/>
      <c r="T389"/>
    </row>
    <row r="390" ht="25.5" customHeight="1">
      <c r="A390" t="inlineStr">
        <is>
          <t>新加坡女子中学Singapore Chinese Girls' School</t>
        </is>
      </c>
      <c r="B390" t="inlineStr">
        <is>
          <t>新加坡</t>
        </is>
      </c>
      <c r="C390" t="inlineStr">
        <is>
          <t>武吉知马/诺维娜</t>
        </is>
      </c>
      <c r="D390" t="inlineStr">
        <is>
          <t>初中</t>
        </is>
      </c>
      <c r="E390" t="inlineStr">
        <is>
          <t>教育</t>
        </is>
      </c>
      <c r="F390" t="inlineStr">
        <is>
          <t>杜尼安路190号，邮编309437</t>
        </is>
      </c>
      <c r="G390" s="2" t="str">
        <f>=HYPERLINK("http://www.scgs.moe.edu.sg/", "http://www.scgs.moe.edu.sg")</f>
        <v>http://www.scgs.moe.edu.sg</v>
      </c>
      <c r="H390" t="inlineStr">
        <is>
          <t>成立于1899年，位于新加坡中部史蒂芬路一带，是一所历史极为悠久、学术与人文并重的女子学校。其初中部在华文教育、学生素养培养和国际理解方面具有优势，对中国保持文化亲近感与理性认知，强调在全球语境下理解中国社会。</t>
        </is>
      </c>
      <c r="I390"/>
      <c r="J390"/>
      <c r="K390"/>
      <c r="L390" s="2" t="str">
        <f>=HYPERLINK("mailto:scgss@moe.edu.sg", "scgss@moe.edu.sg")</f>
        <v>scgss@moe.edu.sg</v>
      </c>
      <c r="M390" t="inlineStr">
        <is>
          <t>6252 7966</t>
        </is>
      </c>
      <c r="N390" s="3">
        <v>46026</v>
      </c>
      <c r="O390" t="inlineStr">
        <is>
          <t>已联系未回复</t>
        </is>
      </c>
      <c r="P390"/>
      <c r="Q390" t="inlineStr">
        <is>
          <t>上海工商外国语学校-留学生</t>
        </is>
      </c>
      <c r="R390"/>
      <c r="S390"/>
      <c r="T390"/>
    </row>
    <row r="391" ht="25.5" customHeight="1">
      <c r="A391" t="inlineStr">
        <is>
          <t>培华中学Pei Hwa Secondary School</t>
        </is>
      </c>
      <c r="B391" t="inlineStr">
        <is>
          <t>新加坡</t>
        </is>
      </c>
      <c r="C391" t="inlineStr">
        <is>
          <t>盛港</t>
        </is>
      </c>
      <c r="D391" t="inlineStr">
        <is>
          <t>初中</t>
        </is>
      </c>
      <c r="E391" t="inlineStr">
        <is>
          <t>教育</t>
        </is>
      </c>
      <c r="F391" t="inlineStr">
        <is>
          <t>盛港芬维尔连路21号，邮编797702</t>
        </is>
      </c>
      <c r="G391" s="2" t="str">
        <f>=HYPERLINK("http://www.peihwasec.moe.edu.sg/", "http://www.peihwasec.moe.edu.sg")</f>
        <v>http://www.peihwasec.moe.edu.sg</v>
      </c>
      <c r="H391" t="inlineStr">
        <is>
          <t>成立于1956年，是新加坡一所完善的教育机构，专注于全人教育，将学术卓越与个性发展相结合。学校提供多元化的课程，强调创新、领导和社会责任，旨在培养具有全球视野的全面发展的学生。</t>
        </is>
      </c>
      <c r="I391"/>
      <c r="J391"/>
      <c r="K391"/>
      <c r="L391" s="2" t="str">
        <f>=HYPERLINK("mailto:peihwasec@moe.edu.sg", "peihwasec@moe.edu.sg")</f>
        <v>peihwasec@moe.edu.sg</v>
      </c>
      <c r="M391" t="inlineStr">
        <is>
          <t>6500 9580</t>
        </is>
      </c>
      <c r="N391" s="3">
        <v>46026</v>
      </c>
      <c r="O391" t="inlineStr">
        <is>
          <t>已联系未回复</t>
        </is>
      </c>
      <c r="P391"/>
      <c r="Q391" t="inlineStr">
        <is>
          <t>上海工商外国语学校-留学生</t>
        </is>
      </c>
      <c r="R391"/>
      <c r="S391"/>
      <c r="T391"/>
    </row>
    <row r="392" ht="25.5" customHeight="1">
      <c r="A392" t="inlineStr">
        <is>
          <t>中正中学（总校）Chung Cheng High School (Main)</t>
        </is>
      </c>
      <c r="B392" t="inlineStr">
        <is>
          <t>新加坡</t>
        </is>
      </c>
      <c r="C392" t="inlineStr">
        <is>
          <t>马林百列</t>
        </is>
      </c>
      <c r="D392" t="inlineStr">
        <is>
          <t>初中</t>
        </is>
      </c>
      <c r="E392" t="inlineStr">
        <is>
          <t>教育</t>
        </is>
      </c>
      <c r="F392" t="inlineStr">
        <is>
          <t>马林百列/哥曼弯路50号，邮编439012</t>
        </is>
      </c>
      <c r="G392" s="2" t="str">
        <f>=HYPERLINK("http://www.chungchenghighmain.moe.edu.sg/", "http://www.chungchenghighmain.moe.edu.sg")</f>
        <v>http://www.chungchenghighmain.moe.edu.sg</v>
      </c>
      <c r="H392" t="inlineStr">
        <is>
          <t>成立于1939年，位于新加坡东部，是新加坡最具代表性的传统华校之一。其初中部优势在于深厚的华文底蕴、稳定的教学质量和成熟的校园文化，对中国在文化与教育层面保持高度认同，注重在现代教育体系中传承中华价值并培养国际化学生。</t>
        </is>
      </c>
      <c r="I392"/>
      <c r="J392"/>
      <c r="K392"/>
      <c r="L392" s="2" t="str">
        <f>=HYPERLINK("mailto:cchms@moe.edu.sg", "cchms@moe.edu.sg")</f>
        <v>cchms@moe.edu.sg</v>
      </c>
      <c r="M392" t="inlineStr">
        <is>
          <t>6344 1393</t>
        </is>
      </c>
      <c r="N392" s="3">
        <v>46026</v>
      </c>
      <c r="O392" t="inlineStr">
        <is>
          <t>已联系未回复</t>
        </is>
      </c>
      <c r="P392"/>
      <c r="Q392" t="inlineStr">
        <is>
          <t>上海工商外国语学校-留学生</t>
        </is>
      </c>
      <c r="R392"/>
      <c r="S392"/>
      <c r="T392"/>
    </row>
    <row r="393" ht="25.5" customHeight="1">
      <c r="A393" t="inlineStr">
        <is>
          <t>南侨中学Nan Chiau High School</t>
        </is>
      </c>
      <c r="B393" t="inlineStr">
        <is>
          <t>新加坡</t>
        </is>
      </c>
      <c r="C393" t="inlineStr">
        <is>
          <t>盛港</t>
        </is>
      </c>
      <c r="D393" t="inlineStr">
        <is>
          <t>初中</t>
        </is>
      </c>
      <c r="E393" t="inlineStr">
        <is>
          <t>教育</t>
        </is>
      </c>
      <c r="F393" t="inlineStr">
        <is>
          <t>盛港安克瓦尔连路20号，邮编545079</t>
        </is>
      </c>
      <c r="G393" s="2" t="str">
        <f>=HYPERLINK("http://www.nanchiauhigh.moe.edu.sg/", "http://www.nanchiauhigh.moe.edu.sg")</f>
        <v>http://www.nanchiauhigh.moe.edu.sg</v>
      </c>
      <c r="H393" t="inlineStr">
        <is>
          <t>成立于1947年，以其优异的学习成绩和对品格教育的承诺而闻名。学校提供一系列全面的课程，培养学生的领导能力、创造力和批判性思维，同时为学生提供国际交流和社区参与的机会。</t>
        </is>
      </c>
      <c r="I393"/>
      <c r="J393"/>
      <c r="K393"/>
      <c r="L393" s="2" t="str">
        <f>=HYPERLINK("mailto:nchs@moe.edu.sg", "nchs@moe.edu.sg")</f>
        <v>nchs@moe.edu.sg</v>
      </c>
      <c r="M393" t="inlineStr">
        <is>
          <t>6489 7971</t>
        </is>
      </c>
      <c r="N393" s="3">
        <v>46026</v>
      </c>
      <c r="O393" t="inlineStr">
        <is>
          <t>已联系未回复</t>
        </is>
      </c>
      <c r="P393"/>
      <c r="Q393" t="inlineStr">
        <is>
          <t>上海工商外国语学校-留学生</t>
        </is>
      </c>
      <c r="R393"/>
      <c r="S393"/>
      <c r="T393"/>
    </row>
    <row r="394" ht="25.5" customHeight="1">
      <c r="A394" t="inlineStr">
        <is>
          <t>吉隆坡国际学校The International School of Kuala Lumpur</t>
        </is>
      </c>
      <c r="B394" t="inlineStr">
        <is>
          <t>马来西亚</t>
        </is>
      </c>
      <c r="C394" t="inlineStr">
        <is>
          <t>吉隆坡</t>
        </is>
      </c>
      <c r="D394" t="inlineStr">
        <is>
          <t>初中</t>
        </is>
      </c>
      <c r="E394" t="inlineStr">
        <is>
          <t>教育</t>
        </is>
      </c>
      <c r="F394" t="inlineStr">
        <is>
          <t>吉隆坡联邦直辖区安邦希里尔皇家马球俱乐部巷2号，邮编55000</t>
        </is>
      </c>
      <c r="G394" s="2" t="str">
        <f>=HYPERLINK("https://www.iskl.edu.my/learning/middle-school", "https://www.iskl.edu.my/learning/middle-school")</f>
        <v>https://www.iskl.edu.my/learning/middle-school</v>
      </c>
      <c r="H394" t="inlineStr">
        <is>
          <t>成立于1965年，吉隆坡国际学校（ISKL）是一所提供国际教育的学校，面向全球学生。学校提供从幼儿园到12年级的课程，采用美国学制。虽然该校并非专门教授中文，但它的多元文化环境中，中文作为外语被纳入课程体系，学生有机会学习中文，并了解中华文化。</t>
        </is>
      </c>
      <c r="I394"/>
      <c r="J394"/>
      <c r="K394"/>
      <c r="L394" s="2" t="str">
        <f>=HYPERLINK("mailto:iskl@iskl.edu.my", "iskl@iskl.edu.my")</f>
        <v>iskl@iskl.edu.my</v>
      </c>
      <c r="M394" t="inlineStr">
        <is>
          <t>+603 4813-5000</t>
        </is>
      </c>
      <c r="N394" s="3">
        <v>46026</v>
      </c>
      <c r="O394" t="inlineStr">
        <is>
          <t>已联系未回复</t>
        </is>
      </c>
      <c r="P394"/>
      <c r="Q394" t="inlineStr">
        <is>
          <t>上海工商外国语学校-留学生</t>
        </is>
      </c>
      <c r="R394"/>
      <c r="S394"/>
      <c r="T394"/>
    </row>
    <row r="395" ht="25.5" customHeight="1">
      <c r="A395" t="inlineStr">
        <is>
          <t>花园国际学校Garden International School</t>
        </is>
      </c>
      <c r="B395" t="inlineStr">
        <is>
          <t>马来西亚</t>
        </is>
      </c>
      <c r="C395" t="inlineStr">
        <is>
          <t>吉隆坡</t>
        </is>
      </c>
      <c r="D395" t="inlineStr">
        <is>
          <t>初中</t>
        </is>
      </c>
      <c r="E395" t="inlineStr">
        <is>
          <t>教育</t>
        </is>
      </c>
      <c r="F395" t="inlineStr">
        <is>
          <t>马来西亚吉隆坡联邦直辖区满家乐佳拉3路16号，邮编50480</t>
        </is>
      </c>
      <c r="G395" s="2" t="str">
        <f>=HYPERLINK("https://www.gardenschool.edu.my/", "https://www.gardenschool.edu.my/")</f>
        <v>https://www.gardenschool.edu.my/</v>
      </c>
      <c r="H395" t="inlineStr">
        <is>
          <t>成立于1957年，花园国际学校提供国际文凭（IB）和英国剑桥体系的教育。学校有着多样化的国际学生群体，并开设中文课程，鼓励学生深入了解中华文化和语言。学校还与中国的教育机构保持联系，推动文化交流。</t>
        </is>
      </c>
      <c r="I395"/>
      <c r="J395"/>
      <c r="K395"/>
      <c r="L395" s="2" t="str">
        <f>=HYPERLINK("mailto:enquiry@gardenschool.edu.my", "enquiry@gardenschool.edu.my")</f>
        <v>enquiry@gardenschool.edu.my</v>
      </c>
      <c r="M395" t="inlineStr">
        <is>
          <t>(+603) 6209 6888</t>
        </is>
      </c>
      <c r="N395" s="3">
        <v>46026</v>
      </c>
      <c r="O395" t="inlineStr">
        <is>
          <t>已联系未回复</t>
        </is>
      </c>
      <c r="P395"/>
      <c r="Q395" t="inlineStr">
        <is>
          <t>上海工商外国语学校-留学生</t>
        </is>
      </c>
      <c r="R395"/>
      <c r="S395"/>
      <c r="T395"/>
    </row>
    <row r="396" ht="25.5" customHeight="1">
      <c r="A396" t="inlineStr">
        <is>
          <t>芙蓉中华中学chung hua high school</t>
        </is>
      </c>
      <c r="B396" t="inlineStr">
        <is>
          <t>马来西亚</t>
        </is>
      </c>
      <c r="C396" t="inlineStr">
        <is>
          <t>芙蓉市</t>
        </is>
      </c>
      <c r="D396" t="inlineStr">
        <is>
          <t>初中</t>
        </is>
      </c>
      <c r="E396" t="inlineStr">
        <is>
          <t>教育</t>
        </is>
      </c>
      <c r="F396" t="inlineStr">
        <is>
          <t>马来西亚芙蓉市敦依斯迈医生路，邮编70200</t>
        </is>
      </c>
      <c r="G396" s="2" t="str">
        <f>=HYPERLINK("https://chhsban.edu.my/", "https://chhsban.edu.my/")</f>
        <v>https://chhsban.edu.my/</v>
      </c>
      <c r="H396" t="inlineStr">
        <is>
          <t>芙蓉中华中学是一所历史悠久的华文中学，位于马来西亚的芙蓉市，专注于提供全面的华文教育。学校强调中华文化的传承，中文课程不仅包括语言的学习，还涉及中国历史、文化等方面的教育。</t>
        </is>
      </c>
      <c r="I396"/>
      <c r="J396"/>
      <c r="K396"/>
      <c r="L396" s="2" t="str">
        <f>=HYPERLINK("mailto:chhsban@chhsban.edu.my", "chhsban@chhsban.edu.my")</f>
        <v>chhsban@chhsban.edu.my</v>
      </c>
      <c r="M396" t="inlineStr">
        <is>
          <t>06-7612782, 06-7646984</t>
        </is>
      </c>
      <c r="N396" s="3">
        <v>46026</v>
      </c>
      <c r="O396" t="inlineStr">
        <is>
          <t>推进中</t>
        </is>
      </c>
      <c r="P396" t="inlineStr">
        <is>
          <t>自动回复</t>
        </is>
      </c>
      <c r="Q396" t="inlineStr">
        <is>
          <t>上海工商外国语学校-留学生</t>
        </is>
      </c>
      <c r="R396"/>
      <c r="S396"/>
      <c r="T396"/>
    </row>
    <row r="397" ht="25.5" customHeight="1">
      <c r="A397" t="inlineStr">
        <is>
          <t>锺灵国民型华文中学SMJK Chung Ling Pulau Pinang</t>
        </is>
      </c>
      <c r="B397" t="inlineStr">
        <is>
          <t>马来西亚</t>
        </is>
      </c>
      <c r="C397" t="inlineStr">
        <is>
          <t>麻坡市</t>
        </is>
      </c>
      <c r="D397" t="inlineStr">
        <is>
          <t>初中</t>
        </is>
      </c>
      <c r="E397" t="inlineStr">
        <is>
          <t>教育</t>
        </is>
      </c>
      <c r="F397" t="inlineStr">
        <is>
          <t>麻坡市黄和烈路12号</t>
        </is>
      </c>
      <c r="G397" s="2" t="str">
        <f>=HYPERLINK("https://wp.clhs.edu.my/", "https://wp.clhs.edu.my/")</f>
        <v>https://wp.clhs.edu.my/</v>
      </c>
      <c r="H397" t="inlineStr">
        <is>
          <t>锺灵国民型华文中学位于槟城，是一所国民型华文中学。学校采用马来西亚国家课程，辅以中文教育，注重中华文化的推广。通过丰富的课外活动和文化节庆，学生们能够深入体验中华文化。</t>
        </is>
      </c>
      <c r="I397"/>
      <c r="J397"/>
      <c r="K397"/>
      <c r="L397" s="2" t="str">
        <f>=HYPERLINK("mailto:abc@mail.com", "abc@mail.com")</f>
        <v>abc@mail.com</v>
      </c>
      <c r="M397" t="inlineStr">
        <is>
          <t>06-345678901</t>
        </is>
      </c>
      <c r="N397" s="3">
        <v>46026</v>
      </c>
      <c r="O397" t="inlineStr">
        <is>
          <t>已联系未回复</t>
        </is>
      </c>
      <c r="P397"/>
      <c r="Q397" t="inlineStr">
        <is>
          <t>上海工商外国语学校-留学生</t>
        </is>
      </c>
      <c r="R397"/>
      <c r="S397"/>
      <c r="T397"/>
    </row>
    <row r="398" ht="25.5" customHeight="1">
      <c r="A398" t="inlineStr">
        <is>
          <t>吉隆坡尊孔国民型华文中学SMJK Confucian Kuala Lumpur</t>
        </is>
      </c>
      <c r="B398" t="inlineStr">
        <is>
          <t>马来西亚</t>
        </is>
      </c>
      <c r="C398" t="inlineStr">
        <is>
          <t>吉隆坡</t>
        </is>
      </c>
      <c r="D398" t="inlineStr">
        <is>
          <t>初中</t>
        </is>
      </c>
      <c r="E398" t="inlineStr">
        <is>
          <t>教育</t>
        </is>
      </c>
      <c r="F398" t="inlineStr">
        <is>
          <t>马来西亚吉隆坡联邦直辖区市中心汉惹拔巷，邮编50150</t>
        </is>
      </c>
      <c r="G398" s="2" t="str">
        <f>=HYPERLINK("https://klconfucian.edu.my/", "https://klconfucian.edu.my/")</f>
        <v>https://klconfucian.edu.my/</v>
      </c>
      <c r="H398" t="inlineStr">
        <is>
          <t>这所位于吉隆坡的学校以尊孔为宗旨，传承中华文化和儒家思想。学校提供国民型教育，同时重视中文教育和中华文化的学习，培养学生的文化自信和认同感。</t>
        </is>
      </c>
      <c r="I398"/>
      <c r="J398"/>
      <c r="K398"/>
      <c r="L398" s="2" t="str">
        <f>=HYPERLINK("http://web0212@moe.edu.my", "web0212@moe.edu.my")</f>
        <v>web0212@moe.edu.my</v>
      </c>
      <c r="M398" t="inlineStr">
        <is>
          <t>03 – 20783364</t>
        </is>
      </c>
      <c r="N398" s="3">
        <v>46026</v>
      </c>
      <c r="O398" t="inlineStr">
        <is>
          <t>已联系未回复</t>
        </is>
      </c>
      <c r="P398"/>
      <c r="Q398" t="inlineStr">
        <is>
          <t>上海工商外国语学校-留学生</t>
        </is>
      </c>
      <c r="R398"/>
      <c r="S398"/>
      <c r="T398"/>
    </row>
    <row r="399" ht="25.5" customHeight="1">
      <c r="A399" t="inlineStr">
        <is>
          <t>兴华中学SMJK Hinhwa</t>
        </is>
      </c>
      <c r="B399" t="inlineStr">
        <is>
          <t>马来西亚</t>
        </is>
      </c>
      <c r="C399" t="inlineStr">
        <is>
          <t>巴生市</t>
        </is>
      </c>
      <c r="D399" t="inlineStr">
        <is>
          <t>初中</t>
        </is>
      </c>
      <c r="E399" t="inlineStr">
        <is>
          <t>教育</t>
        </is>
      </c>
      <c r="F399" t="inlineStr">
        <is>
          <t>雪兰莪州巴生市拉惹慕达慕沙道141号，邮编41200</t>
        </is>
      </c>
      <c r="G399" s="2" t="str">
        <f>=HYPERLINK("https://hinhua.edu.my/cn/", "https://hinhua.edu.my/cn/")</f>
        <v>https://hinhua.edu.my/cn/</v>
      </c>
      <c r="H399" t="inlineStr">
        <is>
          <t>兴华中学是一所位于马来西亚的华文学校，注重中文教育并推崇中华传统文化。学校每年举办各类文化活动，如中秋节和春节庆典，以加深学生对中华文化的理解与认同。</t>
        </is>
      </c>
      <c r="I399"/>
      <c r="J399" t="inlineStr">
        <is>
          <t>升学与国际事务处</t>
        </is>
      </c>
      <c r="K399"/>
      <c r="L399" s="2" t="str">
        <f>=HYPERLINK("mailto:int_affairs@hinhua.edu.my", "int_affairs@hinhua.edu.my")</f>
        <v>int_affairs@hinhua.edu.my</v>
      </c>
      <c r="M399" t="inlineStr">
        <is>
          <t>03-3371 4241,
            03-3371 4801</t>
        </is>
      </c>
      <c r="N399" s="3">
        <v>46026</v>
      </c>
      <c r="O399" t="inlineStr">
        <is>
          <t>可长期合作</t>
        </is>
      </c>
      <c r="P399" t="inlineStr">
        <is>
          <t>希望在1月12号开线上会议沟通-后期可安排相关的短期游学-国内相关中学期望通过我们来触达/以及去大马可以通过他们来公务，对方与吉隆坡距离较近</t>
        </is>
      </c>
      <c r="Q399" t="inlineStr">
        <is>
          <t>上海工商外国语学校-留学生</t>
        </is>
      </c>
      <c r="R399"/>
      <c r="S399" t="inlineStr">
        <is>
          <t>合作方向： 1. 学生流动：组织该校学生赴中国进行短期游学，并建立长期、稳定的合作机制；2. 校际合作：帮助该校与中国学科优势突出的重点中学建立姊妹学校或合作关系；3. 双向交流与服务拓展：作为国内单位赴马来西亚的当地对接方，未来可结合马来西亚当地商会资源，共同策划与推动马来西亚企业来华进行商务考察与交流项目。
合作领域： 中学国际教育交流、特色学科共建（如STEM、华文教育等）、青少年文化交流、以及潜在的校企资源联动。合作核心在于基础教育阶段的国际化拓展与资源对接。</t>
        </is>
      </c>
      <c r="T399"/>
    </row>
    <row r="400" ht="25.5" customHeight="1">
      <c r="A400" t="inlineStr">
        <is>
          <t>怡保培南国民型华文中学SMJK Poi Lam</t>
        </is>
      </c>
      <c r="B400" t="inlineStr">
        <is>
          <t>马来西亚</t>
        </is>
      </c>
      <c r="C400" t="inlineStr">
        <is>
          <t>珠宝市</t>
        </is>
      </c>
      <c r="D400" t="inlineStr">
        <is>
          <t>初中</t>
        </is>
      </c>
      <c r="E400" t="inlineStr">
        <is>
          <t>教育</t>
        </is>
      </c>
      <c r="F400" t="inlineStr">
        <is>
          <t>霹雳州珠宝市新斯里克兰邦镇斯里克兰邦路4号，邮编31200</t>
        </is>
      </c>
      <c r="G400" s="2" t="str">
        <f>=HYPERLINK("https://poilam.smjk.my/", "https://poilam.smjk.my/")</f>
        <v>https://poilam.smjk.my/</v>
      </c>
      <c r="H400" t="inlineStr">
        <is>
          <t>培南中学位于怡保，是一所注重华文教育的学校。它融合了国家课程和华文课程，鼓励学生了解中华文化，参与传统文化节庆活动，以促进文化多样性和认同感。</t>
        </is>
      </c>
      <c r="I400"/>
      <c r="J400"/>
      <c r="K400"/>
      <c r="L400" s="2" t="str">
        <f>=HYPERLINK("mailto:AEB2054@moe.edu.my", "AEB2054@moe.edu.my")</f>
        <v>AEB2054@moe.edu.my</v>
      </c>
      <c r="M400" t="inlineStr">
        <is>
          <t>05-2924469</t>
        </is>
      </c>
      <c r="N400" s="3">
        <v>46026</v>
      </c>
      <c r="O400" t="inlineStr">
        <is>
          <t>已联系未回复</t>
        </is>
      </c>
      <c r="P400"/>
      <c r="Q400" t="inlineStr">
        <is>
          <t>上海工商外国语学校-留学生</t>
        </is>
      </c>
      <c r="R400"/>
      <c r="S400"/>
      <c r="T400"/>
    </row>
    <row r="401" ht="25.5" customHeight="1">
      <c r="A401" t="inlineStr">
        <is>
          <t>柔佛新山宽柔中学Foon Yew High School</t>
        </is>
      </c>
      <c r="B401" t="inlineStr">
        <is>
          <t>马来西亚</t>
        </is>
      </c>
      <c r="C401" t="inlineStr">
        <is>
          <t>新山市</t>
        </is>
      </c>
      <c r="D401" t="inlineStr">
        <is>
          <t>初中</t>
        </is>
      </c>
      <c r="E401" t="inlineStr">
        <is>
          <t>教育</t>
        </is>
      </c>
      <c r="F401" t="inlineStr">
        <is>
          <t>马来西亚柔佛州新山市依布拉欣苏丹路59-C号，邮编80300</t>
        </is>
      </c>
      <c r="G401" s="2" t="str">
        <f>=HYPERLINK("https://www.foonyew.edu.my/home", "https://www.foonyew.edu.my/home")</f>
        <v>https://www.foonyew.edu.my/home</v>
      </c>
      <c r="H401" t="inlineStr">
        <is>
          <t>坐落于柔佛新山的宽柔中学是马来西亚最著名的华文学校之一。学校长期致力于弘扬中华文化，中文课程深入而广泛，涵盖语言、文学及中华历史，使学生们能够深刻理解并传承中华文明。</t>
        </is>
      </c>
      <c r="I401"/>
      <c r="J401"/>
      <c r="K401"/>
      <c r="L401" s="2" t="str">
        <f>=HYPERLINK("mailto:fyhs@foonyew.edu.my", "fyhs@foonyew.edu.my")</f>
        <v>fyhs@foonyew.edu.my</v>
      </c>
      <c r="M401" t="inlineStr">
        <is>
          <t>07 227 4586</t>
        </is>
      </c>
      <c r="N401" s="3">
        <v>46026</v>
      </c>
      <c r="O401" t="inlineStr">
        <is>
          <t>已联系未回复</t>
        </is>
      </c>
      <c r="P401"/>
      <c r="Q401" t="inlineStr">
        <is>
          <t>上海工商外国语学校-留学生</t>
        </is>
      </c>
      <c r="R401"/>
      <c r="S401"/>
      <c r="T401"/>
    </row>
    <row r="402" ht="25.5" customHeight="1">
      <c r="A402" t="inlineStr">
        <is>
          <t>古晋中华第一中学Chung Hua Middle School No.1</t>
        </is>
      </c>
      <c r="B402" t="inlineStr">
        <is>
          <t>马来西亚</t>
        </is>
      </c>
      <c r="C402" t="inlineStr">
        <is>
          <t>古晋市</t>
        </is>
      </c>
      <c r="D402" t="inlineStr">
        <is>
          <t>初中</t>
        </is>
      </c>
      <c r="E402" t="inlineStr">
        <is>
          <t>教育</t>
        </is>
      </c>
      <c r="F402" t="inlineStr">
        <is>
          <t>马来西亚砂拉越州古晋市Pending路，邮编93450</t>
        </is>
      </c>
      <c r="G402" s="2" t="str">
        <f>=HYPERLINK("https://chms1.edu.my/", "https://chms1.edu.my/")</f>
        <v>https://chms1.edu.my/</v>
      </c>
      <c r="H402" t="inlineStr">
        <is>
          <t>作为古晋最具影响力的华文中学之一，中华第一中学专注于中文教育并高度重视中华文化的传承。学校提供多元化的文化活动和节庆庆祝活动，确保学生在全球化背景下仍能保持对中华文化的深厚认同。</t>
        </is>
      </c>
      <c r="I402"/>
      <c r="J402"/>
      <c r="K402"/>
      <c r="L402" s="2" t="str">
        <f>=HYPERLINK("mailto:chms1@chms1.edu.my", "chms1@chms1.edu.my")</f>
        <v>chms1@chms1.edu.my</v>
      </c>
      <c r="M402" t="inlineStr">
        <is>
          <t>(+60)82-331599 / (+60)16-8861599</t>
        </is>
      </c>
      <c r="N402" s="3">
        <v>46026</v>
      </c>
      <c r="O402" t="inlineStr">
        <is>
          <t>已联系未回复</t>
        </is>
      </c>
      <c r="P402"/>
      <c r="Q402" t="inlineStr">
        <is>
          <t>上海工商外国语学校-留学生</t>
        </is>
      </c>
      <c r="R402"/>
      <c r="S402"/>
      <c r="T402"/>
    </row>
    <row r="403" ht="25.5" customHeight="1">
      <c r="A403" t="inlineStr">
        <is>
          <t>亚庇建国中学Kian kok Middle School</t>
        </is>
      </c>
      <c r="B403" t="inlineStr">
        <is>
          <t>马来西亚</t>
        </is>
      </c>
      <c r="C403" t="inlineStr">
        <is>
          <t>亚庇市</t>
        </is>
      </c>
      <c r="D403" t="inlineStr">
        <is>
          <t>初中</t>
        </is>
      </c>
      <c r="E403" t="inlineStr">
        <is>
          <t>教育</t>
        </is>
      </c>
      <c r="F403" t="inlineStr">
        <is>
          <t>亚庇市斗亚兰路2.5英里处，邮编88450</t>
        </is>
      </c>
      <c r="G403" s="2" t="str">
        <f>=HYPERLINK("https://kiankok.edu.my/", "https://kiankok.edu.my/")</f>
        <v>https://kiankok.edu.my/</v>
      </c>
      <c r="H403" t="inlineStr">
        <is>
          <t>建国中学位于马来西亚沙巴州亚庇市，提供高质量的中文教育。学校强调培养学生的中文能力及中华文化素养，举办定期的文化活动、中文演讲比赛等，鼓励学生展示其对中华文化的理解与热爱。</t>
        </is>
      </c>
      <c r="I403"/>
      <c r="J403"/>
      <c r="K403"/>
      <c r="L403" s="2" t="str">
        <f>=HYPERLINK("mailto:kiankok.office@gmail.com", "kiankok.office@gmail.com")</f>
        <v>kiankok.office@gmail.com</v>
      </c>
      <c r="M403" t="inlineStr">
        <is>
          <t>电话：+6088-254915, +6088-216520
微信：kkms1963</t>
        </is>
      </c>
      <c r="N403" s="3">
        <v>46026</v>
      </c>
      <c r="O403" t="inlineStr">
        <is>
          <t>已联系未回复</t>
        </is>
      </c>
      <c r="P403"/>
      <c r="Q403" t="inlineStr">
        <is>
          <t>上海工商外国语学校-留学生</t>
        </is>
      </c>
      <c r="R403"/>
      <c r="S403"/>
      <c r="T403"/>
    </row>
    <row r="404" ht="25.5" customHeight="1">
      <c r="A404" t="inlineStr">
        <is>
          <t>马六甲培风中学Pay Fong Middle School</t>
        </is>
      </c>
      <c r="B404" t="inlineStr">
        <is>
          <t>马来西亚</t>
        </is>
      </c>
      <c r="C404" t="inlineStr">
        <is>
          <t>马六甲市</t>
        </is>
      </c>
      <c r="D404" t="inlineStr">
        <is>
          <t>初中</t>
        </is>
      </c>
      <c r="E404" t="inlineStr">
        <is>
          <t>教育</t>
        </is>
      </c>
      <c r="F404" t="inlineStr">
        <is>
          <t>马来西亚马六甲市陈祯禄路40号，邮编75300</t>
        </is>
      </c>
      <c r="G404" s="2" t="str">
        <f>=HYPERLINK("https://www.payfong.edu.my/", "https://www.payfong.edu.my/")</f>
        <v>https://www.payfong.edu.my/</v>
      </c>
      <c r="H404" t="inlineStr">
        <is>
          <t>培风中学位于马六甲，是一所国民型华文中学。学校注重中文教育与中华文化的结合，致力于培养学生的跨文化能力和全球视野，同时保持对传统中华文化的深厚情感。</t>
        </is>
      </c>
      <c r="I404"/>
      <c r="J404"/>
      <c r="K404"/>
      <c r="L404" s="2" t="str">
        <f>=HYPERLINK("mailto:pfadmin@payfong.edu.my", "pfadmin@payfong.edu.my")</f>
        <v>pfadmin@payfong.edu.my</v>
      </c>
      <c r="M404" t="inlineStr">
        <is>
          <t>06-2824217/06-2848829</t>
        </is>
      </c>
      <c r="N404" s="3">
        <v>46026</v>
      </c>
      <c r="O404" t="inlineStr">
        <is>
          <t>已联系未回复</t>
        </is>
      </c>
      <c r="P404"/>
      <c r="Q404" t="inlineStr">
        <is>
          <t>上海工商外国语学校-留学生</t>
        </is>
      </c>
      <c r="R404"/>
      <c r="S404"/>
      <c r="T404"/>
    </row>
    <row r="405" ht="25.5" customHeight="1">
      <c r="A405" t="inlineStr">
        <is>
          <t>槟华女子独立中学PenangChinese Girl's Private School</t>
        </is>
      </c>
      <c r="B405" t="inlineStr">
        <is>
          <t>马来西亚</t>
        </is>
      </c>
      <c r="C405" t="inlineStr">
        <is>
          <t>槟城市</t>
        </is>
      </c>
      <c r="D405" t="inlineStr">
        <is>
          <t>初中</t>
        </is>
      </c>
      <c r="E405" t="inlineStr">
        <is>
          <t>教育</t>
        </is>
      </c>
      <c r="F405" t="inlineStr">
        <is>
          <t>马来西亚槟城哥德烈路2号，邮编10350</t>
        </is>
      </c>
      <c r="G405" s="2" t="str">
        <f>=HYPERLINK("https://binhua.edu.my/", "https://binhua.edu.my/")</f>
        <v>https://binhua.edu.my/</v>
      </c>
      <c r="H405" t="inlineStr">
        <is>
          <t>槟华女子独立中学是一所以华文教育为基础的独立中学，致力于为女学生提供高质量的中文教育。学校的文化课程包括中文文学、书法、绘画等，学生有机会参与各类中华文化活动，并通过这些活动了解和体验中国传统文化。</t>
        </is>
      </c>
      <c r="I405"/>
      <c r="J405"/>
      <c r="K405"/>
      <c r="L405" s="2" t="str">
        <f>=HYPERLINK("mailto:Binhuaprivate@gmail.com", "Binhuaprivate@gmail.com")</f>
        <v>Binhuaprivate@gmail.com</v>
      </c>
      <c r="M405" t="inlineStr">
        <is>
          <t>+604-228 1604</t>
        </is>
      </c>
      <c r="N405" s="3">
        <v>46026</v>
      </c>
      <c r="O405" t="inlineStr">
        <is>
          <t>已联系未回复</t>
        </is>
      </c>
      <c r="P405"/>
      <c r="Q405" t="inlineStr">
        <is>
          <t>上海工商外国语学校-留学生</t>
        </is>
      </c>
      <c r="R405"/>
      <c r="S405"/>
      <c r="T405"/>
    </row>
    <row r="406" ht="25.5" customHeight="1">
      <c r="A406" t="inlineStr">
        <is>
          <t>居銮中华中学Klung Chong Hwa High School</t>
        </is>
      </c>
      <c r="B406" t="inlineStr">
        <is>
          <t>马来西亚</t>
        </is>
      </c>
      <c r="C406" t="inlineStr">
        <is>
          <t>居銮市</t>
        </is>
      </c>
      <c r="D406" t="inlineStr">
        <is>
          <t>初中</t>
        </is>
      </c>
      <c r="E406" t="inlineStr">
        <is>
          <t>教育</t>
        </is>
      </c>
      <c r="F406" t="inlineStr">
        <is>
          <t>柔佛州居銮市中华学校路，邮编86000</t>
        </is>
      </c>
      <c r="G406" s="2" t="str">
        <f>=HYPERLINK("http://www.chonghwa.edu.my/", "www.chonghwa.edu.my")</f>
        <v>www.chonghwa.edu.my</v>
      </c>
      <c r="H406" t="inlineStr">
        <is>
          <t>居銮中华中学是一所致力于华文教育的学校，学校注重中华文化的传承。中文课程涵盖了现代中文和古代文化的学习，同时学校还会组织丰富的文化活动，如传统节庆庆祝和文艺表演，以增强学生对中华文化的认同感。</t>
        </is>
      </c>
      <c r="I406"/>
      <c r="J406" t="inlineStr">
        <is>
          <t>国际事务处邮箱：chhs_iad@chonghwa.edu.my</t>
        </is>
      </c>
      <c r="K406"/>
      <c r="L406" s="2" t="str">
        <f>=HYPERLINK("mailto:webmaster@chonghwa.edu.my", "webmaster@chonghwa.edu.my")</f>
        <v>webmaster@chonghwa.edu.my</v>
      </c>
      <c r="M406" t="inlineStr">
        <is>
          <t>07-7768019</t>
        </is>
      </c>
      <c r="N406" s="3">
        <v>46026</v>
      </c>
      <c r="O406" t="inlineStr">
        <is>
          <t>已联系未回复</t>
        </is>
      </c>
      <c r="P406"/>
      <c r="Q406" t="inlineStr">
        <is>
          <t>上海工商外国语学校-留学生</t>
        </is>
      </c>
      <c r="R406"/>
      <c r="S406"/>
      <c r="T406"/>
    </row>
    <row r="407" ht="25.5" customHeight="1">
      <c r="A407" t="inlineStr">
        <is>
          <t>苏安库拉布·维塔亚莱学校（玫瑰园中学）Suankularb Wittayalai School</t>
        </is>
      </c>
      <c r="B407" t="inlineStr">
        <is>
          <t>泰国</t>
        </is>
      </c>
      <c r="C407" t="inlineStr">
        <is>
          <t>曼谷</t>
        </is>
      </c>
      <c r="D407" t="inlineStr">
        <is>
          <t>初中</t>
        </is>
      </c>
      <c r="E407" t="inlineStr">
        <is>
          <t>教育</t>
        </is>
      </c>
      <c r="F407" t="inlineStr">
        <is>
          <t>泰国曼谷帕那空区旺武里巴披隆县三聘路88号，邮编10200</t>
        </is>
      </c>
      <c r="G407" s="2" t="str">
        <f>=HYPERLINK("http://www.sk.ac.th/", "http://www.sk.ac.th/")</f>
        <v>http://www.sk.ac.th/</v>
      </c>
      <c r="H407" t="inlineStr">
        <is>
          <t>玫瑰园中学由国王拉玛五世创立于1882年，位于曼谷拍那空区，是泰国历史最悠久、最负盛名的公立男子中学之一。该校以严格的学术训练和深厚的传统著称，培育了众多泰国政要与精英。学校非常重视中文教育，校园内设有“孔子课堂”，长期与山东大学等中国高校合作开展“汉语桥”等文化夏令营，是泰国最早系统性推广中文教学和中华文化体验的标杆学校。</t>
        </is>
      </c>
      <c r="I407"/>
      <c r="J407"/>
      <c r="K407"/>
      <c r="L407" s="2" t="str">
        <f>=HYPERLINK("mailto:chimplee.wimon@gmail.com", "chimplee.wimon@gmail.com")</f>
        <v>chimplee.wimon@gmail.com</v>
      </c>
      <c r="M407" t="inlineStr">
        <is>
          <t>02-2216701, 02-2255605-8</t>
        </is>
      </c>
      <c r="N407" s="3">
        <v>46026</v>
      </c>
      <c r="O407" t="inlineStr">
        <is>
          <t>已联系未回复</t>
        </is>
      </c>
      <c r="P407"/>
      <c r="Q407" t="inlineStr">
        <is>
          <t>上海工商外国语学校-留学生</t>
        </is>
      </c>
      <c r="R407"/>
      <c r="S407"/>
      <c r="T407"/>
    </row>
    <row r="408" ht="25.5" customHeight="1">
      <c r="A408" t="inlineStr">
        <is>
          <t>泰中国际学校Thai-Chinese International School</t>
        </is>
      </c>
      <c r="B408" t="inlineStr">
        <is>
          <t>泰国</t>
        </is>
      </c>
      <c r="C408" t="inlineStr">
        <is>
          <t>北榄府</t>
        </is>
      </c>
      <c r="D408" t="inlineStr">
        <is>
          <t>初中</t>
        </is>
      </c>
      <c r="E408" t="inlineStr">
        <is>
          <t>教育</t>
        </is>
      </c>
      <c r="F408" t="inlineStr">
        <is>
          <t>泰国北榄府挽丕县挽丕尼威村第7组101/177号，帕讪信路，邮编（原文无邮编）</t>
        </is>
      </c>
      <c r="G408" s="2" t="str">
        <f>=HYPERLINK("https://tcis.ac.th/", "https://tcis.ac.th/")</f>
        <v>https://tcis.ac.th/</v>
      </c>
      <c r="H408" t="inlineStr">
        <is>
          <t>泰中国际学校成立于1995年，主校区位于曼谷邦纳区。作为一所真正的双语学校，它独特地采用泰、英、中三语沉浸式教学，中文是所有学生的核心必修课。学校课程深度融合泰国与中国课程标准，旨在培养学生成为精通三种语言和文化的全球公民。其浓厚的中华文化氛围体现在日常教学、节日庆典及与中国学校的紧密交流中，是泰国中文教育领域的先驱。</t>
        </is>
      </c>
      <c r="I408"/>
      <c r="J408"/>
      <c r="K408"/>
      <c r="L408" s="2" t="str">
        <f>=HYPERLINK("mailto:info@tcis.ac.th", "info@tcis.ac.th")</f>
        <v>info@tcis.ac.th</v>
      </c>
      <c r="M408"/>
      <c r="N408" s="3">
        <v>46026</v>
      </c>
      <c r="O408" t="inlineStr">
        <is>
          <t>已联系未回复</t>
        </is>
      </c>
      <c r="P408"/>
      <c r="Q408" t="inlineStr">
        <is>
          <t>上海工商外国语学校-留学生</t>
        </is>
      </c>
      <c r="R408"/>
      <c r="S408"/>
      <c r="T408"/>
    </row>
    <row r="409" ht="25.5" customHeight="1">
      <c r="A409" t="inlineStr">
        <is>
          <t>康科迪安国际学校Concordian International School</t>
        </is>
      </c>
      <c r="B409" t="inlineStr">
        <is>
          <t>泰国</t>
        </is>
      </c>
      <c r="C409" t="inlineStr">
        <is>
          <t>曼谷</t>
        </is>
      </c>
      <c r="D409" t="inlineStr">
        <is>
          <t>初中</t>
        </is>
      </c>
      <c r="E409" t="inlineStr">
        <is>
          <t>教育</t>
        </is>
      </c>
      <c r="F409" t="inlineStr">
        <is>
          <t>泰国曼谷（注：属北榄府辖区）挽那-达叻公路7公里处第8组918号，邮编10540</t>
        </is>
      </c>
      <c r="G409" s="2" t="str">
        <f>=HYPERLINK("https://www.concordian.ac.th/", "https://www.concordian.ac.th/")</f>
        <v>https://www.concordian.ac.th/</v>
      </c>
      <c r="H409" t="inlineStr">
        <is>
          <t>康科迪安国际学校成立于2001年，坐落于曼谷近郊的北榄府。学校采用独特的全IB（国际文凭）课程体系，并以其强有力的中英双语沉浸式项目闻名。从幼儿园到高中，学生被均衡地分配在中文和英文两个语言轨道中学习所有学科，确保毕业生能流利掌握双语言及双文化思维。学校社区文化多元，对中文的语言学术性要求极高。</t>
        </is>
      </c>
      <c r="I409"/>
      <c r="J409"/>
      <c r="K409"/>
      <c r="L409" s="2" t="str">
        <f>=HYPERLINK("mailto:enquiries@concordian.ac.th", "enquiries@concordian.ac.th")</f>
        <v>enquiries@concordian.ac.th</v>
      </c>
      <c r="M409" t="inlineStr">
        <is>
          <t>+66 2034-9000</t>
        </is>
      </c>
      <c r="N409" s="3">
        <v>46026</v>
      </c>
      <c r="O409" t="inlineStr">
        <is>
          <t>已联系未回复</t>
        </is>
      </c>
      <c r="P409"/>
      <c r="Q409" t="inlineStr">
        <is>
          <t>上海工商外国语学校-留学生</t>
        </is>
      </c>
      <c r="R409"/>
      <c r="S409"/>
      <c r="T409"/>
    </row>
    <row r="410" ht="25.5" customHeight="1">
      <c r="A410" t="inlineStr">
        <is>
          <t>英国普通话国际学校British Mandarin International School</t>
        </is>
      </c>
      <c r="B410" t="inlineStr">
        <is>
          <t>泰国</t>
        </is>
      </c>
      <c r="C410" t="inlineStr">
        <is>
          <t>曼谷</t>
        </is>
      </c>
      <c r="D410" t="inlineStr">
        <is>
          <t>初中</t>
        </is>
      </c>
      <c r="E410" t="inlineStr">
        <is>
          <t>教育</t>
        </is>
      </c>
      <c r="F410" t="inlineStr">
        <is>
          <t>泰国曼谷班卡皮县华目区蓝康恒路蓝康恒68巷190/1号，邮编10240</t>
        </is>
      </c>
      <c r="G410" s="2" t="str">
        <f>=HYPERLINK("https://bmis.ac.th/about/", "https://bmis.ac.th/about/")</f>
        <v>https://bmis.ac.th/about/</v>
      </c>
      <c r="H410" t="inlineStr">
        <is>
          <t>英国普通话国际学校成立于2017年，位于曼谷市中心。作为一所新兴的英制国际学校，它将中文置于核心地位，为3至18岁的学生提供融合了英国国家课程与高强度中文教学的独特路径。除了每天必修的中文课，学校还通过中国文化活动和与上海英国国际学校的伙伴关系，营造沉浸式环境，旨在培养连接东西方的未来领导者。</t>
        </is>
      </c>
      <c r="I410" t="inlineStr">
        <is>
          <t>Evelyn</t>
        </is>
      </c>
      <c r="J410" t="inlineStr">
        <is>
          <t>市场传播部</t>
        </is>
      </c>
      <c r="K410" t="inlineStr">
        <is>
          <t>微信ID：bmisbkk</t>
        </is>
      </c>
      <c r="L410" s="2" t="str">
        <f>=HYPERLINK("mailto:yiqiong.l@bmis.ac.th", "yiqiong.l@bmis.ac.th")</f>
        <v>yiqiong.l@bmis.ac.th</v>
      </c>
      <c r="M410" t="inlineStr">
        <is>
          <t>+66 2102-6100</t>
        </is>
      </c>
      <c r="N410" s="3">
        <v>46026</v>
      </c>
      <c r="O410" t="inlineStr">
        <is>
          <t>已联系已回复</t>
        </is>
      </c>
      <c r="P410" t="inlineStr">
        <is>
          <t>已加微信，进一步探讨可能的合作，但是之前的项目无法继续跟进</t>
        </is>
      </c>
      <c r="Q410" t="inlineStr">
        <is>
          <t>上海工商外国语学校-留学生</t>
        </is>
      </c>
      <c r="R410"/>
      <c r="S410"/>
      <c r="T410"/>
    </row>
    <row r="411" ht="25.5" customHeight="1">
      <c r="A411" t="inlineStr">
        <is>
          <t>曼谷暹罗国际学校Siam International School Bangkok</t>
        </is>
      </c>
      <c r="B411" t="inlineStr">
        <is>
          <t>泰国</t>
        </is>
      </c>
      <c r="C411" t="inlineStr">
        <is>
          <t>曼谷</t>
        </is>
      </c>
      <c r="D411" t="inlineStr">
        <is>
          <t>初中</t>
        </is>
      </c>
      <c r="E411" t="inlineStr">
        <is>
          <t>教育</t>
        </is>
      </c>
      <c r="F411" t="inlineStr">
        <is>
          <t>泰国曼谷旺通朗县旺通朗区蓝康恒39巷（贴披拉1巷）498/11号，邮编10310</t>
        </is>
      </c>
      <c r="G411" s="2" t="str">
        <f>=HYPERLINK("https://sisb.ac.th/", "https://sisb.ac.th/")</f>
        <v>https://sisb.ac.th/</v>
      </c>
      <c r="H411" t="inlineStr">
        <is>
          <t>曼谷暹罗国际学校成立于1995年，位于曼谷民武里区。它是一所提供从幼儿园到高中美国课程的知名国际学校。学校将中文作为从小学开始的关键外语选项，并设有专门的中文部，为学生提供不同水平的课程。学校注重通过文化周、艺术表演和语言竞赛等活动，让学生在实践中体验和应用中华文化。</t>
        </is>
      </c>
      <c r="I411"/>
      <c r="J411"/>
      <c r="K411"/>
      <c r="L411" s="2" t="str">
        <f>=HYPERLINK("mailto:info@sisb.ac.th", "info@sisb.ac.th")</f>
        <v>info@sisb.ac.th</v>
      </c>
      <c r="M411" t="inlineStr">
        <is>
          <t>+66 2158 9191</t>
        </is>
      </c>
      <c r="N411" s="3">
        <v>46026</v>
      </c>
      <c r="O411" t="inlineStr">
        <is>
          <t>已联系未回复</t>
        </is>
      </c>
      <c r="P411"/>
      <c r="Q411" t="inlineStr">
        <is>
          <t>上海工商外国语学校-留学生</t>
        </is>
      </c>
      <c r="R411"/>
      <c r="S411"/>
      <c r="T411"/>
    </row>
    <row r="412" ht="25.5" customHeight="1">
      <c r="A412" t="inlineStr">
        <is>
          <t>萨兰维塔亚学校Samerwittaya School</t>
        </is>
      </c>
      <c r="B412" t="inlineStr">
        <is>
          <t>泰国</t>
        </is>
      </c>
      <c r="C412" t="inlineStr">
        <is>
          <t>曼谷</t>
        </is>
      </c>
      <c r="D412" t="inlineStr">
        <is>
          <t>初中</t>
        </is>
      </c>
      <c r="E412" t="inlineStr">
        <is>
          <t>教育</t>
        </is>
      </c>
      <c r="F412" t="inlineStr">
        <is>
          <t>泰国曼谷乍都乍县塞纳尼空分区帕凤裕庭路2398/96号，邮编10900</t>
        </is>
      </c>
      <c r="G412" s="2" t="str">
        <f>=HYPERLINK("https://srv.ac.th/", "https://srv.ac.th/")</f>
        <v>https://srv.ac.th/</v>
      </c>
      <c r="H412" t="inlineStr">
        <is>
          <t>萨兰维塔亚学校位于泰国南部的也拉府，是一所涵盖幼儿园到高中的私立学校。学校积极参与国际交流，其学生曾通过顺景汉语中心等机构组织的项目前往中国海南参加“泰爱琼台”等中华文化研学营，亲身体验书法、手工艺和中国科技发展。这些经历有效补充了校内的中文语言学习，激发了学生对中文和现代中国的兴趣。</t>
        </is>
      </c>
      <c r="I412"/>
      <c r="J412"/>
      <c r="K412"/>
      <c r="L412" s="2" t="str">
        <f>=HYPERLINK("mailto:sarabun@srv.ac.th", "sarabun@srv.ac.th")</f>
        <v>sarabun@srv.ac.th</v>
      </c>
      <c r="M412" t="inlineStr">
        <is>
          <t>02-579-3646, 02-940-1066</t>
        </is>
      </c>
      <c r="N412" s="3">
        <v>46026</v>
      </c>
      <c r="O412" t="inlineStr">
        <is>
          <t>已联系未回复</t>
        </is>
      </c>
      <c r="P412"/>
      <c r="Q412" t="inlineStr">
        <is>
          <t>上海工商外国语学校-留学生</t>
        </is>
      </c>
      <c r="R412"/>
      <c r="S412"/>
      <c r="T412"/>
    </row>
    <row r="413" ht="25.5" customHeight="1">
      <c r="A413" t="inlineStr">
        <is>
          <t>泰国伯克利国际学校Berkeley International School</t>
        </is>
      </c>
      <c r="B413" t="inlineStr">
        <is>
          <t>泰国</t>
        </is>
      </c>
      <c r="C413" t="inlineStr">
        <is>
          <t>曼谷</t>
        </is>
      </c>
      <c r="D413" t="inlineStr">
        <is>
          <t>初中</t>
        </is>
      </c>
      <c r="E413" t="inlineStr">
        <is>
          <t>教育</t>
        </is>
      </c>
      <c r="F413" t="inlineStr">
        <is>
          <t>泰国曼谷挽那县挽那北区挽那-达叻辅路123号，邮编10260</t>
        </is>
      </c>
      <c r="G413" s="2" t="str">
        <f>=HYPERLINK("https://www.berkeley.ac.th/", "https://www.berkeley.ac.th/")</f>
        <v>https://www.berkeley.ac.th/</v>
      </c>
      <c r="H413" t="inlineStr">
        <is>
          <t>伯克利国际学校成立于2010年，位于曼谷邦纳区。作为一所美制大学预备学校，它提供从小学到高中的完整教育，并将中文列为重要的世界语言课程。学校拥有多元文化的学生群体，其中文课程设计兼顾实用性与文化理解，常通过节日庆祝、文化交流日等活动，让来自不同背景的学生接触和欣赏中华文化。</t>
        </is>
      </c>
      <c r="I413"/>
      <c r="J413"/>
      <c r="K413"/>
      <c r="L413" s="2" t="str">
        <f>=HYPERLINK("mailto:info@berkeley.ac.th", "info@berkeley.ac.th")</f>
        <v>info@berkeley.ac.th</v>
      </c>
      <c r="M413" t="inlineStr">
        <is>
          <t>+66 2 747 4788</t>
        </is>
      </c>
      <c r="N413" s="3">
        <v>46026</v>
      </c>
      <c r="O413" t="inlineStr">
        <is>
          <t>已联系未回复</t>
        </is>
      </c>
      <c r="P413"/>
      <c r="Q413" t="inlineStr">
        <is>
          <t>上海工商外国语学校-留学生</t>
        </is>
      </c>
      <c r="R413"/>
      <c r="S413"/>
      <c r="T413"/>
    </row>
    <row r="414" ht="25.5" customHeight="1">
      <c r="A414" t="inlineStr">
        <is>
          <t>鲁安鲁迪国际学校RIS Ruamrudee International School
</t>
        </is>
      </c>
      <c r="B414" t="inlineStr">
        <is>
          <t>泰国</t>
        </is>
      </c>
      <c r="C414" t="inlineStr">
        <is>
          <t>曼谷</t>
        </is>
      </c>
      <c r="D414" t="inlineStr">
        <is>
          <t>初中</t>
        </is>
      </c>
      <c r="E414" t="inlineStr">
        <is>
          <t>教育</t>
        </is>
      </c>
      <c r="F414" t="inlineStr">
        <is>
          <t>泰国曼谷民武里区蓝康恒184巷6号，邮编10510</t>
        </is>
      </c>
      <c r="G414" s="2" t="str">
        <f>=HYPERLINK("https://www.rism.ac.th/", "https://www.rism.ac.th/")</f>
        <v>https://www.rism.ac.th/</v>
      </c>
      <c r="H414" t="inlineStr">
        <is>
          <t>鲁安鲁迪国际学校成立于1957年，坐落于曼谷明武里区，是一所历史悠久的天主教背景的国际学校。学校提供美式课程和IB文凭，拥有高度国际化的社区。中文作为其丰富外语课程体系中的重要组成部分，供学生选修。学校鼓励跨文化理解，学生有机会通过语言课程和各种国际活动接触并学习中国文化。</t>
        </is>
      </c>
      <c r="I414"/>
      <c r="J414"/>
      <c r="K414"/>
      <c r="L414" s="2" t="str">
        <f>=HYPERLINK("http://info@rism.ac.th", "info@rism.ac.th")</f>
        <v>info@rism.ac.th</v>
      </c>
      <c r="M414" t="inlineStr">
        <is>
          <t>+66 (0)2 791 8900</t>
        </is>
      </c>
      <c r="N414" s="3">
        <v>46026</v>
      </c>
      <c r="O414" t="inlineStr">
        <is>
          <t>已联系未回复</t>
        </is>
      </c>
      <c r="P414"/>
      <c r="Q414" t="inlineStr">
        <is>
          <t>上海工商外国语学校-留学生</t>
        </is>
      </c>
      <c r="R414"/>
      <c r="S414"/>
      <c r="T414"/>
    </row>
    <row r="415" ht="25.5" customHeight="1">
      <c r="A415" t="inlineStr">
        <is>
          <t>玛希隆威塔亚努颂学校Mahidol Wittayanusorn School</t>
        </is>
      </c>
      <c r="B415" t="inlineStr">
        <is>
          <t>泰国</t>
        </is>
      </c>
      <c r="C415" t="inlineStr">
        <is>
          <t>佛统府</t>
        </is>
      </c>
      <c r="D415" t="inlineStr">
        <is>
          <t>初中</t>
        </is>
      </c>
      <c r="E415" t="inlineStr">
        <is>
          <t>教育</t>
        </is>
      </c>
      <c r="F415" t="inlineStr">
        <is>
          <t>泰国佛统府佛陀蒙通县沙拉亚区第5组364号，邮编73170</t>
        </is>
      </c>
      <c r="G415" s="2" t="str">
        <f>=HYPERLINK("https://www.mwit.ac.th/", "https://www.mwit.ac.th/")</f>
        <v>https://www.mwit.ac.th/</v>
      </c>
      <c r="H415" t="inlineStr">
        <is>
          <t>玛希隆威塔亚努颂学校成立于1990年，位于那空巴统府，是泰国首屈一指的公立寄宿制理科天才学校，专为在科学与数学方面有卓越天赋的学生设立。作为课程的一部分，所有学生都必须学习中文，这体现了学校对培养具备全球视野和语言能力的未来科学家的重视。学生优异的学习能力使其在语言和文化吸收上具有独特优势。</t>
        </is>
      </c>
      <c r="I415"/>
      <c r="J415"/>
      <c r="K415"/>
      <c r="L415" s="2" t="str">
        <f>=HYPERLINK("http://saraban@mwit.ac.th", "saraban@mwit.ac.th")</f>
        <v>saraban@mwit.ac.th</v>
      </c>
      <c r="M415" t="inlineStr">
        <is>
          <t>0 2027 7850</t>
        </is>
      </c>
      <c r="N415" s="3">
        <v>46026</v>
      </c>
      <c r="O415" t="inlineStr">
        <is>
          <t>已联系未回复</t>
        </is>
      </c>
      <c r="P415"/>
      <c r="Q415" t="inlineStr">
        <is>
          <t>上海工商外国语学校-留学生</t>
        </is>
      </c>
      <c r="R415"/>
      <c r="S415"/>
      <c r="T415"/>
    </row>
    <row r="416" ht="25.5" customHeight="1">
      <c r="A416" t="inlineStr">
        <is>
          <t xml:space="preserve">萨特里维塔亚学校Satriwithaya School  </t>
        </is>
      </c>
      <c r="B416" t="inlineStr">
        <is>
          <t>泰国</t>
        </is>
      </c>
      <c r="C416" t="inlineStr">
        <is>
          <t>曼谷</t>
        </is>
      </c>
      <c r="D416" t="inlineStr">
        <is>
          <t>初中</t>
        </is>
      </c>
      <c r="E416" t="inlineStr">
        <is>
          <t>教育</t>
        </is>
      </c>
      <c r="F416" t="inlineStr">
        <is>
          <t>泰国曼谷帕那空区波稳尼卫寺丁索路82号，邮编10200</t>
        </is>
      </c>
      <c r="G416" s="2" t="str">
        <f>=HYPERLINK("https://satriwit.ac.th/dev/", "https://satriwit.ac.th/dev/")</f>
        <v>https://satriwit.ac.th/dev/</v>
      </c>
      <c r="H416" t="inlineStr">
        <is>
          <t>萨特里维塔亚学校成立于1932年，位于曼谷律实区，是泰国最顶尖的公立女子中学之一，以优秀的学术成绩和全面的素质教育闻名。学校非常重视语言教育，将中文作为重要的外语选修课程之一。学生们不仅学习语言，也通过文化项目了解中华文化。学校严谨的学风和对学生领导力的培养，使其成为高质量文化交流项目的理想合作伙伴。</t>
        </is>
      </c>
      <c r="I416"/>
      <c r="J416"/>
      <c r="K416"/>
      <c r="L416" s="2" t="str">
        <f>=HYPERLINK("mailto:satriwit@satriwit.ac.th", "satriwit@satriwit.ac.th")</f>
        <v>satriwit@satriwit.ac.th</v>
      </c>
      <c r="M416" t="inlineStr">
        <is>
          <t>02-281-6505, 02-282-1626</t>
        </is>
      </c>
      <c r="N416" s="3">
        <v>46026</v>
      </c>
      <c r="O416" t="inlineStr">
        <is>
          <t>已联系未回复</t>
        </is>
      </c>
      <c r="P416"/>
      <c r="Q416" t="inlineStr">
        <is>
          <t>上海工商外国语学校-留学生</t>
        </is>
      </c>
      <c r="R416"/>
      <c r="S416"/>
      <c r="T416"/>
    </row>
    <row r="417" ht="25.5" customHeight="1">
      <c r="A417" t="inlineStr">
        <is>
          <t>曼谷 BASIS 国际学校BASIS INTERNATIONAL SCHOOL BANGKOK</t>
        </is>
      </c>
      <c r="B417" t="inlineStr">
        <is>
          <t>泰国</t>
        </is>
      </c>
      <c r="C417" t="inlineStr">
        <is>
          <t>曼谷</t>
        </is>
      </c>
      <c r="D417" t="inlineStr">
        <is>
          <t>初中</t>
        </is>
      </c>
      <c r="E417" t="inlineStr">
        <is>
          <t>教育</t>
        </is>
      </c>
      <c r="F417" t="inlineStr">
        <is>
          <t>泰国曼谷挽坤天县三眉丹区拉玛二世路54巷2/1-2号，邮编10150</t>
        </is>
      </c>
      <c r="G417" s="2" t="str">
        <f>=HYPERLINK("https://basis.ac.th/", "https://basis.ac.th/")</f>
        <v>https://basis.ac.th/</v>
      </c>
      <c r="H417" t="inlineStr">
        <is>
          <t>曼谷BASIS国际学校是享誉全球的BASIS课程网络成员，成立于2019年，位于曼谷班纳区。学校以其严格的STEM-focused（注重科学、技术、工程和数学）学术课程而知名。在其课程体系中，中文作为核心外语之一，从低年级开始必修，体现了学校对为学生未来在全球竞争中做准备的高度重视，其中文教学同样强调学术严谨性。</t>
        </is>
      </c>
      <c r="I417"/>
      <c r="J417"/>
      <c r="K417"/>
      <c r="L417" s="2" t="str">
        <f>=HYPERLINK("mailto:admissions@basis.ac.th", "admissions@basis.ac.th")</f>
        <v>admissions@basis.ac.th</v>
      </c>
      <c r="M417" t="inlineStr">
        <is>
          <t>+66 2 415-0099</t>
        </is>
      </c>
      <c r="N417" s="3">
        <v>46026</v>
      </c>
      <c r="O417" t="inlineStr">
        <is>
          <t>已联系未回复</t>
        </is>
      </c>
      <c r="P417"/>
      <c r="Q417" t="inlineStr">
        <is>
          <t>上海工商外国语学校-留学生</t>
        </is>
      </c>
      <c r="R417"/>
      <c r="S417"/>
      <c r="T417"/>
    </row>
    <row r="418" ht="25.5" customHeight="1">
      <c r="A418" t="inlineStr">
        <is>
          <t>泰新国际学校Thai-Singapore International School</t>
        </is>
      </c>
      <c r="B418" t="inlineStr">
        <is>
          <t>泰国</t>
        </is>
      </c>
      <c r="C418" t="inlineStr">
        <is>
          <t>曼谷</t>
        </is>
      </c>
      <c r="D418" t="inlineStr">
        <is>
          <t>初中</t>
        </is>
      </c>
      <c r="E418" t="inlineStr">
        <is>
          <t>教育</t>
        </is>
      </c>
      <c r="F418" t="inlineStr">
        <is>
          <t>泰国素坤逸县素隆努阿城区诗纳卡琳路第5组1000号</t>
        </is>
      </c>
      <c r="G418" s="2" t="str">
        <f>=HYPERLINK("https://www.tsis.ac.th/", "https://www.tsis.ac.th/")</f>
        <v>https://www.tsis.ac.th/</v>
      </c>
      <c r="H418" t="inlineStr">
        <is>
          <t>泰新国际学校成立于1995年，在曼谷和春武里府设有校区。它融合了泰国与新加坡的教育精髓，以学术严谨和高标准著称。中文是学校课程的关键组成部分，学生从小学阶段就开始接触学习。学校环境强调纪律与卓越，其中文教学同样系统扎实，旨在帮助学生掌握这门重要的未来语言。</t>
        </is>
      </c>
      <c r="I418"/>
      <c r="J418"/>
      <c r="K418"/>
      <c r="L418" s="2" t="str">
        <f>=HYPERLINK("mailto:info@tsis.ac.th", "info@tsis.ac.th")</f>
        <v>info@tsis.ac.th</v>
      </c>
      <c r="M418" t="inlineStr">
        <is>
          <t>+66 2 710 5900</t>
        </is>
      </c>
      <c r="N418" s="3">
        <v>46026</v>
      </c>
      <c r="O418" t="inlineStr">
        <is>
          <t>已联系未回复</t>
        </is>
      </c>
      <c r="P418"/>
      <c r="Q418" t="inlineStr">
        <is>
          <t>上海工商外国语学校-留学生</t>
        </is>
      </c>
      <c r="R418"/>
      <c r="S418"/>
      <c r="T418"/>
    </row>
    <row r="419" ht="25.5" customHeight="1">
      <c r="A419" t="inlineStr">
        <is>
          <t xml:space="preserve">曼谷蒙特梭利国际学校Montessori Academy Bangkok International School </t>
        </is>
      </c>
      <c r="B419" t="inlineStr">
        <is>
          <t>泰国</t>
        </is>
      </c>
      <c r="C419" t="inlineStr">
        <is>
          <t>曼谷</t>
        </is>
      </c>
      <c r="D419" t="inlineStr">
        <is>
          <t>初中</t>
        </is>
      </c>
      <c r="E419" t="inlineStr">
        <is>
          <t>教育</t>
        </is>
      </c>
      <c r="F419" t="inlineStr">
        <is>
          <t>泰国曼谷挽那县挽那南区帝巴丹那路1444号，邮编10260</t>
        </is>
      </c>
      <c r="G419" s="2" t="str">
        <f>=HYPERLINK("https://www.montessoribkk.com/", "https://www.montessoribkk.com/")</f>
        <v>https://www.montessoribkk.com/</v>
      </c>
      <c r="H419" t="inlineStr">
        <is>
          <t>曼谷蒙特梭利国际学校成立于2011年，位于曼谷素坤逸区。作为一所纯正的蒙特梭利学校，它为18个月至15岁的儿童提供以学生为中心的教育。在遵循蒙特梭利哲学的同时，学校将中文自然地融入日常生活和学习环境中，为幼小学生提供语言浸泡体验，从小培养他们对不同语言和文化的开放性与兴趣。</t>
        </is>
      </c>
      <c r="I419"/>
      <c r="J419"/>
      <c r="K419"/>
      <c r="L419" s="2" t="str">
        <f>=HYPERLINK("mailto:info@montessoribkk.com", "info@montessoribkk.com")</f>
        <v>info@montessoribkk.com</v>
      </c>
      <c r="M419" t="inlineStr">
        <is>
          <t>02 396 0361-2, 087 8282 868</t>
        </is>
      </c>
      <c r="N419" s="3">
        <v>46026</v>
      </c>
      <c r="O419" t="inlineStr">
        <is>
          <t>已联系未回复</t>
        </is>
      </c>
      <c r="P419"/>
      <c r="Q419" t="inlineStr">
        <is>
          <t>上海工商外国语学校-留学生</t>
        </is>
      </c>
      <c r="R419"/>
      <c r="S419"/>
      <c r="T419"/>
    </row>
    <row r="420" ht="25.5" customHeight="1">
      <c r="A420" t="inlineStr">
        <is>
          <t>越和国际学校
Viet Hoa International School</t>
        </is>
      </c>
      <c r="B420" t="inlineStr">
        <is>
          <t>越南</t>
        </is>
      </c>
      <c r="C420" t="inlineStr">
        <is>
          <t>胡志明市</t>
        </is>
      </c>
      <c r="D420" t="inlineStr">
        <is>
          <t>初中</t>
        </is>
      </c>
      <c r="E420" t="inlineStr">
        <is>
          <t>教育</t>
        </is>
      </c>
      <c r="F420" t="inlineStr">
        <is>
          <t>465号（H5），第9号地图，新市镇区，属于平阳省工业－服务－都市综合区，平阳坊, 胡志明市</t>
        </is>
      </c>
      <c r="G420" s="2" t="str">
        <f>=HYPERLINK("https://www.viethoa.edu.vn/pages/secondary-program-tem", "https://www.viethoa.edu.vn/pages/secondary-program-tem")</f>
        <v>https://www.viethoa.edu.vn/pages/secondary-program-tem</v>
      </c>
      <c r="H420" t="inlineStr">
        <is>
          <t>作为一所知名的华文学校，越和国际学校将中文置于核心地位，不仅进行系统性的语言教学，更将中华文化深度融入课程与学生活动之中。学校营造了浓厚的中文应用环境，是培养学生双语能力及文化认同感的理想选择。</t>
        </is>
      </c>
      <c r="I420"/>
      <c r="J420"/>
      <c r="K420"/>
      <c r="L420" s="2" t="str">
        <f>=HYPERLINK("mailto:info@viethoa.edu.vn", "info@viethoa.edu.vn")</f>
        <v>info@viethoa.edu.vn</v>
      </c>
      <c r="M420" t="inlineStr">
        <is>
          <t>(+84) 0274 - 222 - 2515</t>
        </is>
      </c>
      <c r="N420" s="3">
        <v>46026</v>
      </c>
      <c r="O420" t="inlineStr">
        <is>
          <t>已联系未回复</t>
        </is>
      </c>
      <c r="P420"/>
      <c r="Q420" t="inlineStr">
        <is>
          <t>上海工商外国语学校-留学生</t>
        </is>
      </c>
      <c r="R420"/>
      <c r="S420"/>
      <c r="T420"/>
    </row>
    <row r="421" ht="25.5" customHeight="1">
      <c r="A421" t="inlineStr">
        <is>
          <t>河内国际学校
Hanoi International School (HIS)</t>
        </is>
      </c>
      <c r="B421" t="inlineStr">
        <is>
          <t>越南</t>
        </is>
      </c>
      <c r="C421" t="inlineStr">
        <is>
          <t>河内市</t>
        </is>
      </c>
      <c r="D421" t="inlineStr">
        <is>
          <t>初中</t>
        </is>
      </c>
      <c r="E421" t="inlineStr">
        <is>
          <t>教育</t>
        </is>
      </c>
      <c r="F421" t="inlineStr">
        <is>
          <t>河内市巴亭郡讲武坊烈娲路48号</t>
        </is>
      </c>
      <c r="G421" s="2" t="str">
        <f>=HYPERLINK("https://www.hisvietnam.com/", "https://www.hisvietnam.com/")</f>
        <v>https://www.hisvietnam.com/</v>
      </c>
      <c r="H421" t="inlineStr">
        <is>
          <t>这是一所真正的英汉双语学校，中文作为主要教学语言之一贯穿于所有年级的课程体系。学校采用沉浸式双语教育模式，确保学生能均衡发展两种语言能力，并自然理解相关文化背景，为学生奠定了坚实的双文化基础。</t>
        </is>
      </c>
      <c r="I421"/>
      <c r="J421"/>
      <c r="K421"/>
      <c r="L421" s="2" t="str">
        <f>=HYPERLINK("mailto:tlinton@hisvietnam.com", "tlinton@hisvietnam.com")</f>
        <v>tlinton@hisvietnam.com</v>
      </c>
      <c r="M421"/>
      <c r="N421" s="3">
        <v>46026</v>
      </c>
      <c r="O421" t="inlineStr">
        <is>
          <t>已联系未回复</t>
        </is>
      </c>
      <c r="P421"/>
      <c r="Q421" t="inlineStr">
        <is>
          <t>上海工商外国语学校-留学生</t>
        </is>
      </c>
      <c r="R421"/>
      <c r="S421"/>
      <c r="T421"/>
    </row>
    <row r="422" ht="25.5" customHeight="1">
      <c r="A422" t="inlineStr">
        <is>
          <t>河内英国国际学校
The British International School (BIS) Hanoi</t>
        </is>
      </c>
      <c r="B422" t="inlineStr">
        <is>
          <t>越南</t>
        </is>
      </c>
      <c r="C422" t="inlineStr">
        <is>
          <t>河内市</t>
        </is>
      </c>
      <c r="D422" t="inlineStr">
        <is>
          <t>初中</t>
        </is>
      </c>
      <c r="E422" t="inlineStr">
        <is>
          <t>教育</t>
        </is>
      </c>
      <c r="F422" t="inlineStr">
        <is>
          <t>越南河内市福利坊温家河畔小区花兰路，邮编100000</t>
        </is>
      </c>
      <c r="G422" s="2" t="str">
        <f>=HYPERLINK("https://www.nordangliaeducation.com/bis-hanoi/campaign-ppc-1?gclsrc=aw.ds&amp;gad_source=1&amp;gad_campaignid=15914037284&amp;gbraid=0AAAAADi2Ct-R_g2e3fjXAhA4dy25vlXV9&amp;gclid=CjwKCAiAjc7KBhBvEiwAE2BDOTw0atKymI-6f0Kq5IYlQw3iUdKVxWVv88-uHvA3_dmS04M_49AyXxoCYk0QAvD_BwE", "https://www.nordangliaeducation.com/bis-hanoi/campaign-ppc-1?gclsrc=aw.ds&amp;gad_source=1&amp;gad_campaignid=15914037284&amp;gbraid=0AAAAADi2Ct-R_g2e3fjXAhA4dy25vlXV9&amp;gclid=CjwKCAiAjc7KBhBvEiwAE2BDOTw0atKymI-6f0Kq5IYlQw3iUdKVxWVv88-uHvA3_dmS04M_49AyXxoCYk0QAvD_BwE")</f>
        <v>https://www.nordangliaeducation.com/bis-hanoi/campaign-ppc-1?gclsrc=aw.ds&amp;gad_source=1&amp;gad_campaignid=15914037284&amp;gbraid=0AAAAADi2Ct-R_g2e3fjXAhA4dy25vlXV9&amp;gclid=CjwKCAiAjc7KBhBvEiwAE2BDOTw0atKymI-6f0Kq5IYlQw3iUdKVxWVv88-uHvA3_dmS04M_49AyXxoCYk0QAvD_BwE</v>
      </c>
      <c r="H422" t="inlineStr">
        <is>
          <t>作为一所遵循英国国家课程的知名国际学校，BIS Hanoi将中文作为重要的现代语言课程之一提供给初中学生。学校注重语言的实际沟通能力培养，其国际化的学生群体为中文学习提供了真实的跨文化交流环境。</t>
        </is>
      </c>
      <c r="I422"/>
      <c r="J422"/>
      <c r="K422"/>
      <c r="L422" s="2" t="str">
        <f>=HYPERLINK("mailto:bishanoi@bishanoi.com", "bishanoi@bishanoi.com")</f>
        <v>bishanoi@bishanoi.com</v>
      </c>
      <c r="M422" t="inlineStr">
        <is>
          <t>+84 24 3946 0435</t>
        </is>
      </c>
      <c r="N422" s="3">
        <v>46026</v>
      </c>
      <c r="O422" t="inlineStr">
        <is>
          <t>已联系未回复</t>
        </is>
      </c>
      <c r="P422"/>
      <c r="Q422" t="inlineStr">
        <is>
          <t>上海工商外国语学校-留学生</t>
        </is>
      </c>
      <c r="R422"/>
      <c r="S422"/>
      <c r="T422"/>
    </row>
    <row r="423" ht="25.5" customHeight="1">
      <c r="A423" t="inlineStr">
        <is>
          <t>胡志明市国际学校
International School of Ho Chi Minh City (ISHCMC)</t>
        </is>
      </c>
      <c r="B423" t="inlineStr">
        <is>
          <t>越南</t>
        </is>
      </c>
      <c r="C423" t="inlineStr">
        <is>
          <t>胡志明市</t>
        </is>
      </c>
      <c r="D423" t="inlineStr">
        <is>
          <t>初中</t>
        </is>
      </c>
      <c r="E423" t="inlineStr">
        <is>
          <t>教育</t>
        </is>
      </c>
      <c r="F423" t="inlineStr">
        <is>
          <t>越南胡志明市守德市陶殿区春水街 01 号。</t>
        </is>
      </c>
      <c r="G423" s="2" t="str">
        <f>=HYPERLINK("https://www.ishcmc.com/?_gl=1%2Aio2ckx%2A_up%2AMQ..%2A_gs%2AMQ..&amp;gclid=CjwKCAiAjc7KBhBvEiwAE2BDOcL4BUIYlsOObtJ8VXvKjFWs18FsExOIiQUHqfLdfzpQWn47q0ePMxoCVkcQAvD_BwE&amp;gbraid=0AAAAADETo-dBkhLZGmBTs5_NofcotFtkN", "https://www.ishcmc.com/?_gl=1%2Aio2ckx%2A_up%2AMQ..%2A_gs%2AMQ..&amp;gclid=CjwKCAiAjc7KBhBvEiwAE2BDOcL4BUIYlsOObtJ8VXvKjFWs18FsExOIiQUHqfLdfzpQWn47q0ePMxoCVkcQAvD_BwE&amp;gbraid=0AAAAADETo-dBkhLZGmBTs5_NofcotFtkN")</f>
        <v>https://www.ishcmc.com/?_gl=1%2Aio2ckx%2A_up%2AMQ..%2A_gs%2AMQ..&amp;gclid=CjwKCAiAjc7KBhBvEiwAE2BDOcL4BUIYlsOObtJ8VXvKjFWs18FsExOIiQUHqfLdfzpQWn47q0ePMxoCVkcQAvD_BwE&amp;gbraid=0AAAAADETo-dBkhLZGmBTs5_NofcotFtkN</v>
      </c>
      <c r="H423" t="inlineStr">
        <is>
          <t>作为越南最早的国际学校之一，ISHCMC提供IB课程，其中文项目是语言学部的重要组成部分。学校为初中生提供选修中文的机会，注重在跨文化理解的框架下进行教学，服务于其多样化的学生社区。</t>
        </is>
      </c>
      <c r="I423"/>
      <c r="J423"/>
      <c r="K423"/>
      <c r="L423" s="2" t="str">
        <f>=HYPERLINK("mailto:admissions@ishcmc.edu.vn", "admissions@ishcmc.edu.vn")</f>
        <v>admissions@ishcmc.edu.vn</v>
      </c>
      <c r="M423" t="inlineStr">
        <is>
          <t>+84 (28) 3898 9100</t>
        </is>
      </c>
      <c r="N423" s="3">
        <v>46026</v>
      </c>
      <c r="O423" t="inlineStr">
        <is>
          <t>已联系未回复</t>
        </is>
      </c>
      <c r="P423"/>
      <c r="Q423" t="inlineStr">
        <is>
          <t>上海工商外国语学校-留学生</t>
        </is>
      </c>
      <c r="R423"/>
      <c r="S423"/>
      <c r="T423"/>
    </row>
    <row r="424" ht="25.5" customHeight="1">
      <c r="A424" t="inlineStr">
        <is>
          <t>李常杰中学
Trường THCS Lý Thường Kiệt (Lý Thường Kiệt 初中)</t>
        </is>
      </c>
      <c r="B424" t="inlineStr">
        <is>
          <t>越南</t>
        </is>
      </c>
      <c r="C424" t="inlineStr">
        <is>
          <t>河内市</t>
        </is>
      </c>
      <c r="D424" t="inlineStr">
        <is>
          <t>初中</t>
        </is>
      </c>
      <c r="E424" t="inlineStr">
        <is>
          <t>教育</t>
        </is>
      </c>
      <c r="F424" t="inlineStr">
        <is>
          <t>河内市栋多郡文庙坊阮霏街104号</t>
        </is>
      </c>
      <c r="G424" s="2" t="str">
        <f>=HYPERLINK("https://hanoi.edu.vn/homegdhn2", "https://hanoi.edu.vn/homegdhn2")</f>
        <v>https://hanoi.edu.vn/homegdhn2</v>
      </c>
      <c r="H424" t="inlineStr">
        <is>
          <t>作为一所在河内享有声誉的公立初中，李常杰中学以严谨的学术氛围和全面的素质教育著称。学校通常将中文列为重要的外语选修课之一，为学生提供接触和学习东亚主要语言的机会，满足学生多样化的发展需求。</t>
        </is>
      </c>
      <c r="I424"/>
      <c r="J424" t="inlineStr">
        <is>
          <t>校长办公室</t>
        </is>
      </c>
      <c r="K424"/>
      <c r="L424" s="2" t="str">
        <f>=HYPERLINK("mailto:vanphongso@hanoiedu.vn", "vanphongso@hanoiedu.vn，soGiaoduc@hanoiedu.vn")</f>
        <v>vanphongso@hanoiedu.vn，soGiaoduc@hanoiedu.vn</v>
      </c>
      <c r="M424" t="inlineStr">
        <is>
          <t>0888 996 970  024.39421420</t>
        </is>
      </c>
      <c r="N424" s="3">
        <v>46026</v>
      </c>
      <c r="O424" t="inlineStr">
        <is>
          <t>已联系未回复</t>
        </is>
      </c>
      <c r="P424"/>
      <c r="Q424" t="inlineStr">
        <is>
          <t>上海工商外国语学校-留学生</t>
        </is>
      </c>
      <c r="R424"/>
      <c r="S424"/>
      <c r="T424"/>
    </row>
    <row r="425" ht="25.5" customHeight="1">
      <c r="A425" t="inlineStr">
        <is>
          <t>阮裕中学
Trường THCS Nguyễn Du (Nguyễn Du 初中)</t>
        </is>
      </c>
      <c r="B425" t="inlineStr">
        <is>
          <t>越南</t>
        </is>
      </c>
      <c r="C425" t="inlineStr">
        <is>
          <t>胡志明市</t>
        </is>
      </c>
      <c r="D425" t="inlineStr">
        <is>
          <t>初中</t>
        </is>
      </c>
      <c r="E425" t="inlineStr">
        <is>
          <t>教育</t>
        </is>
      </c>
      <c r="F425" t="inlineStr">
        <is>
          <t>胡志明市滨城区阮杜街 139 号</t>
        </is>
      </c>
      <c r="G425" s="2" t="str">
        <f>=HYPERLINK("https://thcsnguyenduq1.hcm.edu.vn/homegd148", "https://thcsnguyenduq1.hcm.edu.vn/homegd148")</f>
        <v>https://thcsnguyenduq1.hcm.edu.vn/homegd148</v>
      </c>
      <c r="H425" t="inlineStr">
        <is>
          <t>阮裕中学是河内的一所传统名校，注重学术卓越与学生全面发展。学校课程体系中外语选择多样，中文通常是备受欢迎的语言选项之一。这为学生打开了一扇了解区域文化的大门，并提升了未来的竞争力。</t>
        </is>
      </c>
      <c r="I425"/>
      <c r="J425"/>
      <c r="K425"/>
      <c r="L425" s="2" t="str">
        <f>=HYPERLINK("mailto:lienhe@thcsnguyenduq1.edu.vn", "lienhe@thcsnguyenduq1.edu.vn")</f>
        <v>lienhe@thcsnguyenduq1.edu.vn</v>
      </c>
      <c r="M425" t="inlineStr">
        <is>
          <t>028.38298731</t>
        </is>
      </c>
      <c r="N425" s="3">
        <v>46026</v>
      </c>
      <c r="O425" t="inlineStr">
        <is>
          <t>已联系未回复</t>
        </is>
      </c>
      <c r="P425"/>
      <c r="Q425" t="inlineStr">
        <is>
          <t>上海工商外国语学校-留学生</t>
        </is>
      </c>
      <c r="R425"/>
      <c r="S425"/>
      <c r="T425"/>
    </row>
    <row r="426" ht="25.5" customHeight="1">
      <c r="A426" t="inlineStr">
        <is>
          <t>黎贵惇初中学校
Trường THCS Lê Quý Đôn</t>
        </is>
      </c>
      <c r="B426" t="inlineStr">
        <is>
          <t>越南</t>
        </is>
      </c>
      <c r="C426" t="inlineStr">
        <is>
          <t>胡志明市</t>
        </is>
      </c>
      <c r="D426" t="inlineStr">
        <is>
          <t>初中</t>
        </is>
      </c>
      <c r="E426" t="inlineStr">
        <is>
          <t>教育</t>
        </is>
      </c>
      <c r="F426" t="inlineStr">
        <is>
          <t>胡志明市滨吉坊第二区</t>
        </is>
      </c>
      <c r="G426" s="2" t="str">
        <f>=HYPERLINK("https://thcslequydon.bencat.edu.vn/", "https://thcslequydon.bencat.edu.vn/")</f>
        <v>https://thcslequydon.bencat.edu.vn/</v>
      </c>
      <c r="H426" t="inlineStr">
        <is>
          <t>该校是胡志明市著名的公立重点初中，以高学术标准和培养优秀学生闻名。在提供扎实的越南本土教育的同时，学校也重视学生的国际视野，通常开设包括中文在内的多种外语课程，为学有余力的学生提供拓展平台。</t>
        </is>
      </c>
      <c r="I426"/>
      <c r="J426"/>
      <c r="K426"/>
      <c r="L426" s="2" t="str">
        <f>=HYPERLINK("mailto:thcslequydon@bc.sgdbinhduong.edu.vn", "thcslequydon@bc.sgdbinhduong.edu.vn")</f>
        <v>thcslequydon@bc.sgdbinhduong.edu.vn</v>
      </c>
      <c r="M426" t="inlineStr">
        <is>
          <t>0274 3567 578</t>
        </is>
      </c>
      <c r="N426" s="3">
        <v>46026</v>
      </c>
      <c r="O426" t="inlineStr">
        <is>
          <t>已联系未回复</t>
        </is>
      </c>
      <c r="P426"/>
      <c r="Q426" t="inlineStr">
        <is>
          <t>上海工商外国语学校-留学生</t>
        </is>
      </c>
      <c r="R426"/>
      <c r="S426"/>
      <c r="T426"/>
    </row>
    <row r="427" ht="25.5" customHeight="1">
      <c r="A427" t="inlineStr">
        <is>
          <t>国际双语学校
Trường Song ngữ Quốc tế Horizon
Horizon International Bilingual School</t>
        </is>
      </c>
      <c r="B427" t="inlineStr">
        <is>
          <t>越南</t>
        </is>
      </c>
      <c r="C427" t="inlineStr">
        <is>
          <t>胡志明市</t>
        </is>
      </c>
      <c r="D427" t="inlineStr">
        <is>
          <t>初中</t>
        </is>
      </c>
      <c r="E427" t="inlineStr">
        <is>
          <t>教育</t>
        </is>
      </c>
      <c r="F427" t="inlineStr">
        <is>
          <t>越南河内市西湖区，Tô Ngọc Vân街98号，别墅1、2号
越南胡志明市，Thủ Đức市，Thảo Điền坊，44号街6-6A-8号</t>
        </is>
      </c>
      <c r="G427" s="2" t="str">
        <f>=HYPERLINK("https://www.horizon.edu.vn/", "https://www.horizon.edu.vn/")</f>
        <v>https://www.horizon.edu.vn/</v>
      </c>
      <c r="H427" t="inlineStr">
        <is>
          <t>这是一所真正的英汉双语学校，中文作为主要教学语言之一贯穿于所有年级的课程体系。学校采用沉浸式双语教育模式，确保学生能均衡发展两种语言能力，并自然理解相关文化背景，为学生奠定了坚实的双文化基础。</t>
        </is>
      </c>
      <c r="I427"/>
      <c r="J427"/>
      <c r="K427"/>
      <c r="L427" s="2" t="str">
        <f>=HYPERLINK("http://河内：infohanoi@hibs.edu.vn胡志明：infohcmc@hibs.edu.vn总：info@horizon.edu.vn", "河内：infohanoi@hibs.edu.vn胡志明：infohcmc@hibs.edu.vn总：info@horizon.edu.vn")</f>
        <v>河内：infohanoi@hibs.edu.vn胡志明：infohcmc@hibs.edu.vn总：info@horizon.edu.vn</v>
      </c>
      <c r="M427" t="inlineStr">
        <is>
          <t>河内电话：+84 (24) 3 719 49 53
胡志明电话：+84 (9)0 292 06 08
学校总电话：+84 (9) 0 292 0 608</t>
        </is>
      </c>
      <c r="N427" s="3">
        <v>46026</v>
      </c>
      <c r="O427" t="inlineStr">
        <is>
          <t>已联系未回复</t>
        </is>
      </c>
      <c r="P427"/>
      <c r="Q427" t="inlineStr">
        <is>
          <t>上海工商外国语学校-留学生</t>
        </is>
      </c>
      <c r="R427"/>
      <c r="S427"/>
      <c r="T427"/>
    </row>
    <row r="428" ht="25.5" customHeight="1">
      <c r="A428" t="inlineStr">
        <is>
          <t>越澳国际学校
Trường Quốc tế Việt Úc (VAS)</t>
        </is>
      </c>
      <c r="B428" t="inlineStr">
        <is>
          <t>越南</t>
        </is>
      </c>
      <c r="C428" t="inlineStr">
        <is>
          <t>河内市</t>
        </is>
      </c>
      <c r="D428" t="inlineStr">
        <is>
          <t>初中</t>
        </is>
      </c>
      <c r="E428" t="inlineStr">
        <is>
          <t>教育</t>
        </is>
      </c>
      <c r="F428" t="inlineStr">
        <is>
          <t>胡志明市奠宏区 Ba Thang Hai 街 594 号</t>
        </is>
      </c>
      <c r="G428" s="2" t="str">
        <f>=HYPERLINK("https://www.vas.edu.vn/", "https://www.vas.edu.vn/")</f>
        <v>https://www.vas.edu.vn/</v>
      </c>
      <c r="H428" t="inlineStr">
        <is>
          <t>VAS在提供国际课程的同时，非常重视中文教育，将其作为学生的核心外语必修课程。学校课程常结合中华文化主题，并举办相关文化活动，旨在帮助国际背景的学生掌握实用中文技能，并增进对文化的了解。</t>
        </is>
      </c>
      <c r="I428"/>
      <c r="J428"/>
      <c r="K428"/>
      <c r="L428" s="2" t="str">
        <f>=HYPERLINK("mailto:info@vas.edu.vn", "info@vas.edu.vn")</f>
        <v>info@vas.edu.vn</v>
      </c>
      <c r="M428" t="inlineStr">
        <is>
          <t>(028) 38 687 576</t>
        </is>
      </c>
      <c r="N428" s="3">
        <v>46026</v>
      </c>
      <c r="O428" t="inlineStr">
        <is>
          <t>已联系未回复</t>
        </is>
      </c>
      <c r="P428"/>
      <c r="Q428" t="inlineStr">
        <is>
          <t>上海工商外国语学校-留学生</t>
        </is>
      </c>
      <c r="R428"/>
      <c r="S428"/>
      <c r="T428"/>
    </row>
    <row r="429" ht="25.5" customHeight="1">
      <c r="A429" t="inlineStr">
        <is>
          <t>阿森纳足球俱乐部青训学院 /Arsenal Football Club Academy</t>
        </is>
      </c>
      <c r="B429" t="inlineStr">
        <is>
          <t>英国</t>
        </is>
      </c>
      <c r="C429" t="inlineStr">
        <is>
          <t>伦敦</t>
        </is>
      </c>
      <c r="D429" t="inlineStr">
        <is>
          <t>职业俱乐部/青训</t>
        </is>
      </c>
      <c r="E429" t="inlineStr">
        <is>
          <t>体育</t>
        </is>
      </c>
      <c r="F429" t="inlineStr">
        <is>
          <t>海布里大厦
，德雷顿公园75号
，伦敦，N5 1BU</t>
        </is>
      </c>
      <c r="G429" s="2" t="str">
        <f>=HYPERLINK("https://www.arsenal.com/academy", "https://www.arsenal.com/academy")</f>
        <v>https://www.arsenal.com/academy</v>
      </c>
      <c r="H429" t="inlineStr">
        <is>
          <t>阿森纳青训（曾名“枪手学院”）历史悠久，以其强调技术、创造力和进攻足球的哲学著称，位于伦敦科尔尼的现代化训练基地培养出了萨卡、史密斯·罗等新一代球星，是全球最受瞩目的青训营之一。</t>
        </is>
      </c>
      <c r="I429"/>
      <c r="J429"/>
      <c r="K429"/>
      <c r="L429" s="2" t="str">
        <f>=HYPERLINK("http://联系表格：https://arsenalfc.freshdesk.com/support/tickets/new", "联系表格：https://arsenalfc.freshdesk.com/support/tickets/new")</f>
        <v>联系表格：https://arsenalfc.freshdesk.com/support/tickets/new</v>
      </c>
      <c r="M429"/>
      <c r="N429" s="3">
        <v>46042</v>
      </c>
      <c r="O429" t="inlineStr">
        <is>
          <t>已联系未回复</t>
        </is>
      </c>
      <c r="P429"/>
      <c r="Q429" t="inlineStr">
        <is>
          <t>昆山文旅局-法国英国团组</t>
        </is>
      </c>
      <c r="R429"/>
      <c r="S429"/>
      <c r="T429"/>
    </row>
    <row r="430" ht="25.5" customHeight="1">
      <c r="A430" t="inlineStr">
        <is>
          <t>查尔顿足球俱乐部/Charlton Athletic FC Academy</t>
        </is>
      </c>
      <c r="B430" t="inlineStr">
        <is>
          <t>英国</t>
        </is>
      </c>
      <c r="C430" t="inlineStr">
        <is>
          <t>伦敦</t>
        </is>
      </c>
      <c r="D430" t="inlineStr">
        <is>
          <t>职业俱乐部/青训</t>
        </is>
      </c>
      <c r="E430" t="inlineStr">
        <is>
          <t>体育</t>
        </is>
      </c>
      <c r="F430" t="inlineStr">
        <is>
          <t>山谷，弗洛伊德路，查尔顿，SE7 8BL</t>
        </is>
      </c>
      <c r="G430" s="2" t="str">
        <f>=HYPERLINK("https://www.charltonafc.com/", "https://www.charltonafc.com/")</f>
        <v>https://www.charltonafc.com/</v>
      </c>
      <c r="H430" t="inlineStr">
        <is>
          <t>查尔顿青训营拥有良好的历史声誉，是南伦敦重要的青年球员培养基地，其学院体系注重球员的全面发展，曾为英格兰足坛输送了众多职业球员。</t>
        </is>
      </c>
      <c r="I430"/>
      <c r="J430"/>
      <c r="K430"/>
      <c r="L430" s="2" t="str">
        <f>=HYPERLINK("mailto:academy@cafc.co.uk", "academy@cafc.co.uk")</f>
        <v>academy@cafc.co.uk</v>
      </c>
      <c r="M430" t="inlineStr">
        <is>
          <t>020 8333 4000</t>
        </is>
      </c>
      <c r="N430" s="3">
        <v>46042</v>
      </c>
      <c r="O430" t="inlineStr">
        <is>
          <t>已联系未回复</t>
        </is>
      </c>
      <c r="P430"/>
      <c r="Q430" t="inlineStr">
        <is>
          <t>昆山文旅局-法国英国团组</t>
        </is>
      </c>
      <c r="R430"/>
      <c r="S430"/>
      <c r="T430"/>
    </row>
    <row r="431" ht="25.5" customHeight="1">
      <c r="A431" t="inlineStr">
        <is>
          <t>米尔沃尔足球俱乐部/Millwall FC Academy</t>
        </is>
      </c>
      <c r="B431" t="inlineStr">
        <is>
          <t>英国</t>
        </is>
      </c>
      <c r="C431" t="inlineStr">
        <is>
          <t>伦敦</t>
        </is>
      </c>
      <c r="D431" t="inlineStr">
        <is>
          <t>职业俱乐部/青训</t>
        </is>
      </c>
      <c r="E431" t="inlineStr">
        <is>
          <t>体育</t>
        </is>
      </c>
      <c r="F431" t="inlineStr">
        <is>
          <t>尼尔球场（兽穴球场）
约翰·贝里尔森路
伦敦SE16 3LN</t>
        </is>
      </c>
      <c r="G431" s="2" t="str">
        <f>=HYPERLINK("https://www.millwallfc.co.uk/", "https://www.millwallfc.co.uk/")</f>
        <v>https://www.millwallfc.co.uk/</v>
      </c>
      <c r="H431" t="inlineStr">
        <is>
          <t>米尔沃尔青训营以其培养斗志顽强、风格硬朗的球员而著称，反映了俱乐部整体的球队文化，致力于从伦敦本地社区发掘和培养有潜力的年轻人才。</t>
        </is>
      </c>
      <c r="I431" t="inlineStr">
        <is>
          <t>Katie Whitmore-Ewing on</t>
        </is>
      </c>
      <c r="J431"/>
      <c r="K431"/>
      <c r="L431" s="2" t="str">
        <f>=HYPERLINK("mailto:kwhitmore@millwallfc.co.uk", "kwhitmore@millwallfc.co.uk")</f>
        <v>kwhitmore@millwallfc.co.uk</v>
      </c>
      <c r="M431" t="inlineStr">
        <is>
          <t>020 7232 1222</t>
        </is>
      </c>
      <c r="N431" s="3">
        <v>46042</v>
      </c>
      <c r="O431" t="inlineStr">
        <is>
          <t>已联系未回复</t>
        </is>
      </c>
      <c r="P431"/>
      <c r="Q431" t="inlineStr">
        <is>
          <t>昆山文旅局-法国英国团组</t>
        </is>
      </c>
      <c r="R431"/>
      <c r="S431"/>
      <c r="T431"/>
    </row>
    <row r="432" ht="25.5" customHeight="1">
      <c r="A432" t="inlineStr">
        <is>
          <t>女王公园巡游者足球俱乐部/Queens Park Rangers FC Academy</t>
        </is>
      </c>
      <c r="B432" t="inlineStr">
        <is>
          <t>英国</t>
        </is>
      </c>
      <c r="C432" t="inlineStr">
        <is>
          <t>伦敦</t>
        </is>
      </c>
      <c r="D432" t="inlineStr">
        <is>
          <t>职业俱乐部/青训</t>
        </is>
      </c>
      <c r="E432" t="inlineStr">
        <is>
          <t>体育</t>
        </is>
      </c>
      <c r="F432" t="inlineStr">
        <is>
          <t>MATRADE 洛夫图斯路球场
南非公路伦敦 W12 7PJ</t>
        </is>
      </c>
      <c r="G432" s="2" t="str">
        <f>=HYPERLINK("https://www.qpr.co.uk/academy/", "https://www.qpr.co.uk/academy/")</f>
        <v>https://www.qpr.co.uk/academy/</v>
      </c>
      <c r="H432" t="inlineStr">
        <is>
          <t>位于西伦敦的QPR青训营，以其创新的教学方法和对球员个人技术发展的重视而受到认可，其学院在各级别青年联赛中表现活跃，并积极为一线队注入新鲜血液。</t>
        </is>
      </c>
      <c r="I432"/>
      <c r="J432"/>
      <c r="K432"/>
      <c r="L432" s="2" t="str">
        <f>=HYPERLINK("mailto:supporterservices@qpr.co.uk", "supporterservices@qpr.co.uk")</f>
        <v>supporterservices@qpr.co.uk</v>
      </c>
      <c r="M432" t="inlineStr">
        <is>
          <t>020 8740 2628</t>
        </is>
      </c>
      <c r="N432" s="3">
        <v>46042</v>
      </c>
      <c r="O432" t="inlineStr">
        <is>
          <t>已联系未回复</t>
        </is>
      </c>
      <c r="P432"/>
      <c r="Q432" t="inlineStr">
        <is>
          <t>昆山文旅局-法国英国团组</t>
        </is>
      </c>
      <c r="R432"/>
      <c r="S432"/>
      <c r="T432"/>
    </row>
    <row r="433" ht="25.5" customHeight="1">
      <c r="A433" t="inlineStr">
        <is>
          <t>莱顿东方足球俱乐部/Leyton Orient FC Academy</t>
        </is>
      </c>
      <c r="B433" t="inlineStr">
        <is>
          <t>英国</t>
        </is>
      </c>
      <c r="C433" t="inlineStr">
        <is>
          <t>伦敦</t>
        </is>
      </c>
      <c r="D433" t="inlineStr">
        <is>
          <t>职业俱乐部/青训</t>
        </is>
      </c>
      <c r="E433" t="inlineStr">
        <is>
          <t>体育</t>
        </is>
      </c>
      <c r="F433" t="inlineStr">
        <is>
          <t>贝特赖特体育场
奥利弗路
莱顿区
伦敦
E10 5NF</t>
        </is>
      </c>
      <c r="G433" s="2" t="str">
        <f>=HYPERLINK("https://www.leytonorient.com/club/academy/", "https://www.leytonorient.com/club/academy/")</f>
        <v>https://www.leytonorient.com/club/academy/</v>
      </c>
      <c r="H433" t="inlineStr">
        <is>
          <t>作为东伦敦的社区俱乐部，莱顿东方的青训营侧重于本土化人才培养，为当地青少年提供职业发展路径，其学院体系以实用性和球员的职业态度培养为重点。</t>
        </is>
      </c>
      <c r="I433"/>
      <c r="J433"/>
      <c r="K433"/>
      <c r="L433" s="2" t="str">
        <f>=HYPERLINK("mailto:Commercial@leytonorient.com", "Commercial@leytonorient.com")</f>
        <v>Commercial@leytonorient.com</v>
      </c>
      <c r="M433" t="inlineStr">
        <is>
          <t>0208 926 1111</t>
        </is>
      </c>
      <c r="N433" s="3">
        <v>46042</v>
      </c>
      <c r="O433" t="inlineStr">
        <is>
          <t>已联系未回复</t>
        </is>
      </c>
      <c r="P433"/>
      <c r="Q433" t="inlineStr">
        <is>
          <t>昆山文旅局-法国英国团组</t>
        </is>
      </c>
      <c r="R433"/>
      <c r="S433"/>
      <c r="T433"/>
    </row>
    <row r="434" ht="25.5" customHeight="1">
      <c r="A434" t="inlineStr">
        <is>
          <t>布伦特福德足球俱乐部/Brentford FC Academy</t>
        </is>
      </c>
      <c r="B434" t="inlineStr">
        <is>
          <t>英国</t>
        </is>
      </c>
      <c r="C434" t="inlineStr">
        <is>
          <t>伦敦</t>
        </is>
      </c>
      <c r="D434" t="inlineStr">
        <is>
          <t>职业俱乐部/青训</t>
        </is>
      </c>
      <c r="E434" t="inlineStr">
        <is>
          <t>体育</t>
        </is>
      </c>
      <c r="F434" t="inlineStr">
        <is>
          <t>大西路
伦敦布伦特福德
TW8 9AG</t>
        </is>
      </c>
      <c r="G434" s="2" t="str">
        <f>=HYPERLINK("https://www.brentfordfc.com/en/academy", "https://www.brentfordfc.com/en/academy")</f>
        <v>https://www.brentfordfc.com/en/academy</v>
      </c>
      <c r="H434" t="inlineStr">
        <is>
          <t>布伦特福德青训以其独特的“B队模式”而颠覆传统，取消了U23梯队，直接通过B队与高水平俱乐部进行比赛，为18-21岁的顶尖青年才俊提供通往一线队的快速通道，注重实战和个性化发展。</t>
        </is>
      </c>
      <c r="I434"/>
      <c r="J434"/>
      <c r="K434"/>
      <c r="L434" s="2" t="str">
        <f>=HYPERLINK("mailto:partnerships@brentfordfc.com", "partnerships@brentfordfc.com")</f>
        <v>partnerships@brentfordfc.com</v>
      </c>
      <c r="M434"/>
      <c r="N434" s="3">
        <v>46042</v>
      </c>
      <c r="O434" t="inlineStr">
        <is>
          <t>推进中</t>
        </is>
      </c>
      <c r="P434" t="inlineStr">
        <is>
          <t>相关邮件转交给专门处理的部门</t>
        </is>
      </c>
      <c r="Q434" t="inlineStr">
        <is>
          <t>昆山文旅局-法国英国团组</t>
        </is>
      </c>
      <c r="R434"/>
      <c r="S434"/>
      <c r="T434"/>
    </row>
    <row r="435" ht="25.5" customHeight="1">
      <c r="A435" t="inlineStr">
        <is>
          <t>德比郡足球俱乐部/Derby County Football Club</t>
        </is>
      </c>
      <c r="B435" t="inlineStr">
        <is>
          <t>英国</t>
        </is>
      </c>
      <c r="C435" t="inlineStr">
        <is>
          <t>德比</t>
        </is>
      </c>
      <c r="D435" t="inlineStr">
        <is>
          <t>职业俱乐部/青训</t>
        </is>
      </c>
      <c r="E435" t="inlineStr">
        <is>
          <t>体育</t>
        </is>
      </c>
      <c r="F435" t="inlineStr">
        <is>
          <t>普莱德公园球场，普莱德公园，德比，DE24 8XL</t>
        </is>
      </c>
      <c r="G435" s="2" t="str">
        <f>=HYPERLINK("https://www.dcfc.co.uk/page/academy", "https://www.dcfc.co.uk/page/academy")</f>
        <v>https://www.dcfc.co.uk/page/academy</v>
      </c>
      <c r="H435" t="inlineStr">
        <is>
          <t>德比郡足球俱乐部成立于1884年，是英格兰历史最悠久的足球俱乐部之一，主场为普莱德公园球场。俱乐部长期征战英格兰足球联赛体系，拥有深厚的球迷基础和青训传统。近年来，俱乐部注重社区融入和青少年足球发展，通过足球学院和社区项目积极推动本地体育文化。</t>
        </is>
      </c>
      <c r="I435"/>
      <c r="J435"/>
      <c r="K435"/>
      <c r="L435" s="2" t="str">
        <f>=HYPERLINK("mailto:Derby.County@dcfc.co.uk", "Derby.County@dcfc.co.uk")</f>
        <v>Derby.County@dcfc.co.uk</v>
      </c>
      <c r="M435" t="inlineStr">
        <is>
          <t>0871 472 1884</t>
        </is>
      </c>
      <c r="N435" s="3">
        <v>46042</v>
      </c>
      <c r="O435" t="inlineStr">
        <is>
          <t>已联系未回复</t>
        </is>
      </c>
      <c r="P435"/>
      <c r="Q435" t="inlineStr">
        <is>
          <t>昆山文旅局-法国英国团组</t>
        </is>
      </c>
      <c r="R435"/>
      <c r="S435"/>
      <c r="T435"/>
    </row>
    <row r="436" ht="25.5" customHeight="1">
      <c r="A436" t="inlineStr">
        <is>
          <t>德比剧院/Derby Theatre</t>
        </is>
      </c>
      <c r="B436" t="inlineStr">
        <is>
          <t>英国</t>
        </is>
      </c>
      <c r="C436" t="inlineStr">
        <is>
          <t>德比</t>
        </is>
      </c>
      <c r="D436" t="inlineStr">
        <is>
          <t>剧团</t>
        </is>
      </c>
      <c r="E436" t="inlineStr">
        <is>
          <t>戏剧文化</t>
        </is>
      </c>
      <c r="F436" t="inlineStr">
        <is>
          <t>剧院步行街15号
圣彼得区
德比市
DE1 2NF</t>
        </is>
      </c>
      <c r="G436" s="2" t="str">
        <f>=HYPERLINK("https://derbytheatre.co.uk/", "https://derbytheatre.co.uk/")</f>
        <v>https://derbytheatre.co.uk/</v>
      </c>
      <c r="H436" t="inlineStr">
        <is>
          <t>德比剧院是德比市核心的公立剧院，由德比大学运营管理。剧院以“艺术为所有人”为理念，既上演专业戏剧作品，也致力于社区戏剧教育和青年人才培养。其特色包括原创剧目开发、公众参与项目和多元社区合作，是连接专业戏剧与市民文化生活的重要枢纽。</t>
        </is>
      </c>
      <c r="I436"/>
      <c r="J436"/>
      <c r="K436"/>
      <c r="L436" s="2" t="str">
        <f>=HYPERLINK("mailto:DerbyTheatreTickets@derby.ac.uk", "DerbyTheatreTickets@derby.ac.uk")</f>
        <v>DerbyTheatreTickets@derby.ac.uk</v>
      </c>
      <c r="M436" t="inlineStr">
        <is>
          <t>+44 1332 593939</t>
        </is>
      </c>
      <c r="N436" s="3">
        <v>46042</v>
      </c>
      <c r="O436" t="inlineStr">
        <is>
          <t>已联系未回复</t>
        </is>
      </c>
      <c r="P436"/>
      <c r="Q436" t="inlineStr">
        <is>
          <t>昆山文旅局-法国英国团组</t>
        </is>
      </c>
      <c r="R436"/>
      <c r="S436"/>
      <c r="T436"/>
    </row>
    <row r="437" ht="25.5" customHeight="1">
      <c r="A437" t="inlineStr">
        <is>
          <t>昆汀艺术中心/QUAD Derby</t>
        </is>
      </c>
      <c r="B437" t="inlineStr">
        <is>
          <t>英国</t>
        </is>
      </c>
      <c r="C437" t="inlineStr">
        <is>
          <t>德比</t>
        </is>
      </c>
      <c r="D437" t="inlineStr">
        <is>
          <t>艺术中心</t>
        </is>
      </c>
      <c r="E437" t="inlineStr">
        <is>
          <t>戏剧文化</t>
        </is>
      </c>
      <c r="F437" t="inlineStr">
        <is>
          <t>四轴市场
大教堂区
德比
DE1 3AS</t>
        </is>
      </c>
      <c r="G437" s="2" t="str">
        <f>=HYPERLINK("https://www.derbyquad.co.uk/", "https://www.derbyquad.co.uk/")</f>
        <v>https://www.derbyquad.co.uk/</v>
      </c>
      <c r="H437" t="inlineStr">
        <is>
          <t>昆汀艺术中心是德比标志性的当代艺术与数字文化中心，集独立电影院、艺术画廊、数字工作室和创意孵化空间于一体。中心常年举办电影展映、数字艺术展览、创意工作坊及艺术家驻留项目，致力于推动艺术科技融合与公共文化参与，是德比数字创意生态的核心推动者。</t>
        </is>
      </c>
      <c r="I437" t="inlineStr">
        <is>
          <t>Niamh Treacy</t>
        </is>
      </c>
      <c r="J437" t="inlineStr">
        <is>
          <t>展览及FORMAT国际摄影节制作人</t>
        </is>
      </c>
      <c r="K437"/>
      <c r="L437" s="2" t="str">
        <f>=HYPERLINK("mailto:NiamhT@derbyquad.co.uk", "NiamhT@derbyquad.co.uk")</f>
        <v>NiamhT@derbyquad.co.uk</v>
      </c>
      <c r="M437" t="inlineStr">
        <is>
          <t>01332 290 606</t>
        </is>
      </c>
      <c r="N437" s="3">
        <v>46042</v>
      </c>
      <c r="O437" t="inlineStr">
        <is>
          <t>已联系已回复</t>
        </is>
      </c>
      <c r="P437" t="inlineStr">
        <is>
          <t>表示可以抽出一小段的时间来接待，但是公务已通过缔结安排-已拒绝</t>
        </is>
      </c>
      <c r="Q437" t="inlineStr">
        <is>
          <t>昆山文旅局-法国英国团组</t>
        </is>
      </c>
      <c r="R437"/>
      <c r="S437" t="inlineStr">
        <is>
          <t>合作方向：
1. 代表团参观与机构考察：组织中国地方政府文化代表团或艺术机构专业人士，实地考察QUAD的建筑空间、设施运营及多元化的艺术项目规划。
2. 数字艺术与新媒体项目合作：鉴于QUAD在电影、数字艺术、新媒体领域的专长，探讨联合举办数字艺术展映、新媒体工作坊或艺术家驻地项目。
3. 电影节与影展交流：推动参加或合作策划短片、动画或独立电影展映单元，促进两地电影文化的对话。
4. 公众参与项目与创意学习：学习其在社区创意教育、公众工作坊及跨年龄段艺术参与项目上的成熟经验与模式。
5. 艺术节庆与活动策划支持：探讨在大型文化节庆或公共活动中，引入QUAD在跨学科艺术活动策划与执行方面的专业经验。
合作领域：
核心领域：数字艺术、电影与动画、新媒体艺术、公共艺术教育。
特色领域：创意产业孵化、跨学科艺术项目、艺术科技融合。
合作特点：合作侧重于 “当代艺术的跨媒介实践与公众普及” ，强调技术、艺术与社群的融合。机构属性更偏重平台化与生产性，不仅展示艺术，更制造艺术内容与体验。</t>
        </is>
      </c>
      <c r="T437"/>
    </row>
    <row r="438" ht="25.5" customHeight="1">
      <c r="A438" t="inlineStr">
        <is>
          <t>Artcore 社区中心/画廊
Artcore – Community Hub
Artcore Gallery</t>
        </is>
      </c>
      <c r="B438" t="inlineStr">
        <is>
          <t>英国</t>
        </is>
      </c>
      <c r="C438" t="inlineStr">
        <is>
          <t>德比</t>
        </is>
      </c>
      <c r="D438" t="inlineStr">
        <is>
          <t>艺术中心</t>
        </is>
      </c>
      <c r="E438" t="inlineStr">
        <is>
          <t>戏剧文化</t>
        </is>
      </c>
      <c r="F438" t="inlineStr">
        <is>
          <t>Artcore – 社区中心
德比郡德比市查恩伍德街3号
，邮编DE1 2GT
Artcore 画廊
德比奥斯纳布吕克广场阿尔伯特街8号，
邮编DE1 2DS</t>
        </is>
      </c>
      <c r="G438" s="2" t="str">
        <f>=HYPERLINK("https://artcoreuk.com/", "https://artcoreuk.com/")</f>
        <v>https://artcoreuk.com/</v>
      </c>
      <c r="H438" t="inlineStr">
        <is>
          <t>Artcore是德比重要的社区艺术组织，通过其画廊和社区中心推动跨文化对话与社会包容。画廊定期举办国际和本地艺术家的当代艺术展览，而社区中心则开展艺术工作坊、社区共建项目和移民文化支持服务，以艺术为媒介促进不同背景人群的融合与表达。</t>
        </is>
      </c>
      <c r="I438" t="inlineStr">
        <is>
          <t>Ruchita Shaikh DL</t>
        </is>
      </c>
      <c r="J438" t="inlineStr">
        <is>
          <t xml:space="preserve">CEO     </t>
        </is>
      </c>
      <c r="K438"/>
      <c r="L438" s="2" t="str">
        <f>=HYPERLINK("mailto:info@artcoreuk.com", "info@artcoreuk.com")</f>
        <v>info@artcoreuk.com</v>
      </c>
      <c r="M438" t="inlineStr">
        <is>
          <t>01332 384 561</t>
        </is>
      </c>
      <c r="N438" s="3">
        <v>46042</v>
      </c>
      <c r="O438" t="inlineStr">
        <is>
          <t>已联系已回复</t>
        </is>
      </c>
      <c r="P438" t="inlineStr">
        <is>
          <t>对方可以安排高级领导接待，但是本次公务已安排，现已拒绝</t>
        </is>
      </c>
      <c r="Q438" t="inlineStr">
        <is>
          <t>昆山文旅局-法国英国团组</t>
        </is>
      </c>
      <c r="R438"/>
      <c r="S438" t="inlineStr">
        <is>
          <t>合作方向：
1. 代表团艺术交流参访：组织中国地方政府文化代表团赴英，实地考察Artcore的社区艺术空间、运营模式及展览项目。
2. 艺术展览与项目合作：推动两地艺术家联合创作、巡回展览或特定主题的交互式艺术项目。
3. 艺术家与策展人驻留及发展：互派新兴艺术家或策展人进行短期驻留、工作坊交流与专业技能培训。
4. 社区艺术实践与方法共享：学习并引进Artcore将艺术融入社区建设、公众参与及社会包容的成熟模式与工作方法。
5. 艺术节庆与文化旅游联动：探讨将社区艺术项目与城市文化节庆、旅游推广相结合，开发艺术驱动型文旅体验。
合作领域：
核心领域：视觉艺术展览、社区艺术实践、艺术家培养。
特色领域：艺术空间运营与管理、社会参与式艺术项目、文化艺术旅游。
合作特点：合作紧密围绕 “艺术的社会价值与社区连接” ，强调实践性、参与性与本土文化互动，项目通常具有较强的人文温度和社会创新属性。</t>
        </is>
      </c>
      <c r="T438"/>
    </row>
    <row r="439" ht="25.5" customHeight="1">
      <c r="A439" t="inlineStr">
        <is>
          <t>德比摩尔学院/Derby Moor Academy</t>
        </is>
      </c>
      <c r="B439" t="inlineStr">
        <is>
          <t>英国</t>
        </is>
      </c>
      <c r="C439" t="inlineStr">
        <is>
          <t>德比</t>
        </is>
      </c>
      <c r="D439" t="inlineStr">
        <is>
          <t>公立学校</t>
        </is>
      </c>
      <c r="E439" t="inlineStr">
        <is>
          <t>戏剧文化</t>
        </is>
      </c>
      <c r="F439" t="inlineStr">
        <is>
          <t>穆尔韦巷
小奥弗区，德比市
邮编：DE23 2FS</t>
        </is>
      </c>
      <c r="G439" s="2" t="str">
        <f>=HYPERLINK("https://derbymoorspencer.org.uk/", "https://derbymoorspencer.org.uk/")</f>
        <v>https://derbymoorspencer.org.uk/</v>
      </c>
      <c r="H439" t="inlineStr">
        <is>
          <t>德比摩尔学院是德比市内一所以卓越艺术教育闻名的公立中学。学院拥有完善的戏剧、音乐和视觉艺术课程，并设有活跃的校园剧团和艺术社团。其艺术教育强调创意实践与社会参与，常与本地艺术机构合作，为学生提供丰富的实践机会，是培养青少年艺术人才的重要基地。</t>
        </is>
      </c>
      <c r="I439" t="inlineStr">
        <is>
          <t>Ms. A. Woodcock</t>
        </is>
      </c>
      <c r="J439"/>
      <c r="K439"/>
      <c r="L439" s="2" t="str">
        <f>=HYPERLINK("mailto:info@derbymoorspencer.org.uk", "info@derbymoorspencer.org.uk")</f>
        <v>info@derbymoorspencer.org.uk</v>
      </c>
      <c r="M439" t="inlineStr">
        <is>
          <t>01332 772706</t>
        </is>
      </c>
      <c r="N439" s="3">
        <v>46042</v>
      </c>
      <c r="O439" t="inlineStr">
        <is>
          <t>已联系未回复</t>
        </is>
      </c>
      <c r="P439"/>
      <c r="Q439" t="inlineStr">
        <is>
          <t>昆山文旅局-法国英国团组</t>
        </is>
      </c>
      <c r="R439"/>
      <c r="S439"/>
      <c r="T439"/>
    </row>
    <row r="440" ht="25.5" customHeight="1">
      <c r="A440" t="inlineStr">
        <is>
          <t>德国铝行业协会 /Aluminium Deutschland</t>
        </is>
      </c>
      <c r="B440" t="inlineStr">
        <is>
          <t>德国</t>
        </is>
      </c>
      <c r="C440" t="inlineStr">
        <is>
          <t>杜塞尔多夫</t>
        </is>
      </c>
      <c r="D440" t="inlineStr">
        <is>
          <t>协会</t>
        </is>
      </c>
      <c r="E440" t="inlineStr">
        <is>
          <t>铝业</t>
        </is>
      </c>
      <c r="F440" t="inlineStr">
        <is>
          <t>弗里茨-冯费尔德街 30号
40547 杜塞尔多夫
德国</t>
        </is>
      </c>
      <c r="G440" s="2" t="str">
        <f>=HYPERLINK("https://www.aluminiumdeutschland.de/", "https://www.aluminiumdeutschland.de/")</f>
        <v>https://www.aluminiumdeutschland.de/</v>
      </c>
      <c r="H440" t="inlineStr">
        <is>
          <t>德国铝行业协会是代表德国铝行业的主要行业组织，涵盖了铝生产、加工、回收和应用等各个环节。该协会在全球铝行业标准制定、技术创新和环保等方面发挥着重要作用。</t>
        </is>
      </c>
      <c r="I440"/>
      <c r="J440"/>
      <c r="K440"/>
      <c r="L440" s="2" t="str">
        <f>=HYPERLINK("mailto:information@alu-d.de", "information@alu-d.de")</f>
        <v>information@alu-d.de</v>
      </c>
      <c r="M440" t="inlineStr">
        <is>
          <t>+49 211 4796-0</t>
        </is>
      </c>
      <c r="N440" s="3">
        <v>46044</v>
      </c>
      <c r="O440" t="inlineStr">
        <is>
          <t>已联系未回复</t>
        </is>
      </c>
      <c r="P440"/>
      <c r="Q440" t="inlineStr">
        <is>
          <t>上海铝业协会-德国奥地利匈牙利</t>
        </is>
      </c>
      <c r="R440"/>
      <c r="S440"/>
      <c r="T440"/>
    </row>
    <row r="441" ht="25.5" customHeight="1">
      <c r="A441" t="inlineStr">
        <is>
          <t>亚琛工业大学铝创新集群 /AMAP - Aachen Center for Aluminium</t>
        </is>
      </c>
      <c r="B441" t="inlineStr">
        <is>
          <t>德国</t>
        </is>
      </c>
      <c r="C441" t="inlineStr">
        <is>
          <t>亚琛</t>
        </is>
      </c>
      <c r="D441" t="inlineStr">
        <is>
          <t>创新集群</t>
        </is>
      </c>
      <c r="E441" t="inlineStr">
        <is>
          <t>铝业</t>
        </is>
      </c>
      <c r="F441" t="inlineStr">
        <is>
          <t>AMAP有限公司
舒尔策尔特大街 570号
52074 亚琛市
德国</t>
        </is>
      </c>
      <c r="G441" s="2" t="str">
        <f>=HYPERLINK("https://www.amap.de/en/", "https://www.amap.de/en/")</f>
        <v>https://www.amap.de/en/</v>
      </c>
      <c r="H441" t="inlineStr">
        <is>
          <t>亚琛工业大学铝创新集群（AMAP）是一个跨学科的科研平台，致力于铝材料的应用、加工技术、可持续性以及技术创新。该集群不仅专注于铝的基础研究，还推动与工业界的合作，开发新的铝技术和解决方案。</t>
        </is>
      </c>
      <c r="I441"/>
      <c r="J441"/>
      <c r="K441"/>
      <c r="L441" s="2" t="str">
        <f>=HYPERLINK("mailto:info@amap.de", "info@amap.de")</f>
        <v>info@amap.de</v>
      </c>
      <c r="M441" t="inlineStr">
        <is>
          <t>+49-241-565283313</t>
        </is>
      </c>
      <c r="N441" s="3">
        <v>46044</v>
      </c>
      <c r="O441" t="inlineStr">
        <is>
          <t>已联系已回复</t>
        </is>
      </c>
      <c r="P441" t="inlineStr">
        <is>
          <t>表示可以再展会上见面，现阶段让对方推荐其他单位，等待回复ing</t>
        </is>
      </c>
      <c r="Q441" t="inlineStr">
        <is>
          <t>上海铝业协会-德国奥地利匈牙利</t>
        </is>
      </c>
      <c r="R441"/>
      <c r="S441"/>
      <c r="T441"/>
    </row>
    <row r="442" ht="25.5" customHeight="1">
      <c r="A442" t="inlineStr">
        <is>
          <t>森内特铝业温纳股份公司 / STEINERT Aluminiumwerk Unna AG</t>
        </is>
      </c>
      <c r="B442" t="inlineStr">
        <is>
          <t>德国</t>
        </is>
      </c>
      <c r="C442" t="inlineStr">
        <is>
          <t>科隆</t>
        </is>
      </c>
      <c r="D442" t="inlineStr">
        <is>
          <t>铝业公司</t>
        </is>
      </c>
      <c r="E442" t="inlineStr">
        <is>
          <t>铝业</t>
        </is>
      </c>
      <c r="F442" t="inlineStr">
        <is>
          <t>维德斯多夫街 329-331号，50933 科隆，德国</t>
        </is>
      </c>
      <c r="G442" s="2" t="str">
        <f>=HYPERLINK("https://steinert.de/", "https://steinert.de/")</f>
        <v>https://steinert.de/</v>
      </c>
      <c r="H442" t="inlineStr">
        <is>
          <t>专注于铝型材的生产与加工，公司通过现代挤压技术和定制化解决方案，为建筑、机械工程等领域提供高质量铝制品，注重生产效率与材料性能优化。</t>
        </is>
      </c>
      <c r="I442"/>
      <c r="J442"/>
      <c r="K442"/>
      <c r="L442" s="2" t="str">
        <f>=HYPERLINK("mailto:service@steinert.de", "service@steinert.de")</f>
        <v>service@steinert.de</v>
      </c>
      <c r="M442" t="inlineStr">
        <is>
          <t>+49 221 4984-177</t>
        </is>
      </c>
      <c r="N442" s="3">
        <v>46044</v>
      </c>
      <c r="O442" t="inlineStr">
        <is>
          <t>已联系未回复</t>
        </is>
      </c>
      <c r="P442"/>
      <c r="Q442" t="inlineStr">
        <is>
          <t>上海铝业协会-德国奥地利匈牙利</t>
        </is>
      </c>
      <c r="R442"/>
      <c r="S442"/>
      <c r="T442"/>
    </row>
    <row r="443" ht="25.5" customHeight="1">
      <c r="A443" t="inlineStr">
        <is>
          <t>钨纳铝业公司/Aluminiumwerk Unna AG</t>
        </is>
      </c>
      <c r="B443" t="inlineStr">
        <is>
          <t>德国</t>
        </is>
      </c>
      <c r="C443" t="inlineStr">
        <is>
          <t>钨纳</t>
        </is>
      </c>
      <c r="D443" t="inlineStr">
        <is>
          <t>铝业公司</t>
        </is>
      </c>
      <c r="E443" t="inlineStr">
        <is>
          <t>铝业</t>
        </is>
      </c>
      <c r="F443" t="inlineStr">
        <is>
          <t>乌尔岑径 36号，59425 乌纳，德国</t>
        </is>
      </c>
      <c r="G443" s="2" t="str">
        <f>=HYPERLINK("http://www.alunnatubes.com/", "http://www.alunnatubes.com/")</f>
        <v>http://www.alunnatubes.com/</v>
      </c>
      <c r="H443" t="inlineStr">
        <is>
          <t>作为铝加工领域的企业，该公司致力于铝型材挤压和表面处理，产品广泛应用于工业与建筑行业，以灵活的生产能力和客户导向的服务见长。</t>
        </is>
      </c>
      <c r="I443"/>
      <c r="J443"/>
      <c r="K443"/>
      <c r="L443" s="2" t="str">
        <f>=HYPERLINK("mailto:info@alunnatubes.com", "info@alunnatubes.com")</f>
        <v>info@alunnatubes.com</v>
      </c>
      <c r="M443" t="inlineStr">
        <is>
          <t>+4923032060</t>
        </is>
      </c>
      <c r="N443" s="3">
        <v>46044</v>
      </c>
      <c r="O443" t="inlineStr">
        <is>
          <t>已联系未回复</t>
        </is>
      </c>
      <c r="P443"/>
      <c r="Q443" t="inlineStr">
        <is>
          <t>上海铝业协会-德国奥地利匈牙利</t>
        </is>
      </c>
      <c r="R443"/>
      <c r="S443"/>
      <c r="T443"/>
    </row>
    <row r="444" ht="25.5" customHeight="1">
      <c r="A444" t="inlineStr">
        <is>
          <t>特里迈特铝业股份公司 / Trimet Aluminium AG</t>
        </is>
      </c>
      <c r="B444" t="inlineStr">
        <is>
          <t>德国</t>
        </is>
      </c>
      <c r="C444" t="inlineStr">
        <is>
          <t>埃森</t>
        </is>
      </c>
      <c r="D444" t="inlineStr">
        <is>
          <t>铝业公司</t>
        </is>
      </c>
      <c r="E444" t="inlineStr">
        <is>
          <t>铝业</t>
        </is>
      </c>
      <c r="F444" t="inlineStr">
        <is>
          <t>铝业大道 1号，45356 埃森，德国</t>
        </is>
      </c>
      <c r="G444" s="2" t="str">
        <f>=HYPERLINK("http://www.trimet.de/", "http://www.trimet.de/")</f>
        <v>http://www.trimet.de/</v>
      </c>
      <c r="H444" t="inlineStr">
        <is>
          <t>欧洲主要的铝生产商之一，业务覆盖原铝冶炼、回收及高端铝材制造，注重循环经济与能源效率，为汽车、包装等行业提供可持续铝解决方案。</t>
        </is>
      </c>
      <c r="I444"/>
      <c r="J444"/>
      <c r="K444"/>
      <c r="L444" s="2" t="str">
        <f>=HYPERLINK("mailto:info@trimet.de", "info@trimet.de")</f>
        <v>info@trimet.de</v>
      </c>
      <c r="M444" t="inlineStr">
        <is>
          <t>+49 201 3660</t>
        </is>
      </c>
      <c r="N444" s="3">
        <v>46044</v>
      </c>
      <c r="O444" t="inlineStr">
        <is>
          <t>已联系未回复</t>
        </is>
      </c>
      <c r="P444"/>
      <c r="Q444" t="inlineStr">
        <is>
          <t>上海铝业协会-德国奥地利匈牙利</t>
        </is>
      </c>
      <c r="R444"/>
      <c r="S444"/>
      <c r="T444"/>
    </row>
    <row r="445" ht="25.5" customHeight="1">
      <c r="A445" t="inlineStr">
        <is>
          <t>海德鲁铝业德国有限公司 / Hydro Aluminium Deutschland GmbH</t>
        </is>
      </c>
      <c r="B445" t="inlineStr">
        <is>
          <t>德国</t>
        </is>
      </c>
      <c r="C445" t="inlineStr">
        <is>
          <t>洛伊斯</t>
        </is>
      </c>
      <c r="D445" t="inlineStr">
        <is>
          <t>铝业公司</t>
        </is>
      </c>
      <c r="E445" t="inlineStr">
        <is>
          <t>铝业</t>
        </is>
      </c>
      <c r="F445" t="inlineStr">
        <is>
          <t>布林德艾森路 21号，41468 诺伊斯，德国</t>
        </is>
      </c>
      <c r="G445" s="2" t="str">
        <f>=HYPERLINK("https://www.hydro.com/de-LU/uber-hydro/hydro-weltweit/europe/deutschland/", "https://www.hydro.com/de-LU/uber-hydro/hydro-weltweit/europe/deutschland/")</f>
        <v>https://www.hydro.com/de-LU/uber-hydro/hydro-weltweit/europe/deutschland/</v>
      </c>
      <c r="H445" t="inlineStr">
        <is>
          <t>依托海德鲁集团的全球网络，公司在德国提供包括挤压材、轧制材在内的铝产品，强调低碳铝和循环利用，服务于交通、建筑等市场。</t>
        </is>
      </c>
      <c r="I445"/>
      <c r="J445"/>
      <c r="K445"/>
      <c r="L445" s="2" t="str">
        <f>=HYPERLINK("mailto:HAD.Info@Hydro.com", "HAD.Info@Hydro.com")</f>
        <v>HAD.Info@Hydro.com</v>
      </c>
      <c r="M445" t="inlineStr">
        <is>
          <t>+47 22 53 81 00</t>
        </is>
      </c>
      <c r="N445" s="3">
        <v>46044</v>
      </c>
      <c r="O445" t="inlineStr">
        <is>
          <t>已联系未回复</t>
        </is>
      </c>
      <c r="P445"/>
      <c r="Q445" t="inlineStr">
        <is>
          <t>上海铝业协会-德国奥地利匈牙利</t>
        </is>
      </c>
      <c r="R445"/>
      <c r="S445"/>
      <c r="T445"/>
    </row>
    <row r="446" ht="25.5" customHeight="1">
      <c r="A446" t="inlineStr">
        <is>
          <t>阿卢诺夫铝业公司/Aluminium Norf GmbH</t>
        </is>
      </c>
      <c r="B446" t="inlineStr">
        <is>
          <t>德国</t>
        </is>
      </c>
      <c r="C446" t="inlineStr">
        <is>
          <t>洛伊斯</t>
        </is>
      </c>
      <c r="D446" t="inlineStr">
        <is>
          <t>铝业公司</t>
        </is>
      </c>
      <c r="E446" t="inlineStr">
        <is>
          <t>铝业</t>
        </is>
      </c>
      <c r="F446" t="inlineStr">
        <is>
          <t>科布伦茨街 120号，41468 诺伊斯，德国</t>
        </is>
      </c>
      <c r="G446" s="2" t="str">
        <f>=HYPERLINK("http://www.alunorf.de/", "http://www.alunorf.de/")</f>
        <v>http://www.alunorf.de/</v>
      </c>
      <c r="H446" t="inlineStr">
        <is>
          <t>专注于铝轧制产品的生产，提供板材、带材等产品，应用于汽车、散热器等领域，注重工艺创新与质量管控，满足客户对精密铝材的需求。</t>
        </is>
      </c>
      <c r="I446"/>
      <c r="J446"/>
      <c r="K446"/>
      <c r="L446" s="2" t="str">
        <f>=HYPERLINK("mailto:kontakt@alunorf.de", "kontakt@alunorf.de")</f>
        <v>kontakt@alunorf.de</v>
      </c>
      <c r="M446" t="inlineStr">
        <is>
          <t>+49 2131 937 8599</t>
        </is>
      </c>
      <c r="N446" s="3">
        <v>46044</v>
      </c>
      <c r="O446" t="inlineStr">
        <is>
          <t>已联系未回复</t>
        </is>
      </c>
      <c r="P446"/>
      <c r="Q446" t="inlineStr">
        <is>
          <t>上海铝业协会-德国奥地利匈牙利</t>
        </is>
      </c>
      <c r="R446"/>
      <c r="S446"/>
      <c r="T446"/>
    </row>
    <row r="447" ht="25.5" customHeight="1">
      <c r="A447" t="inlineStr">
        <is>
          <t>斯派拉有限公司 / Speira GmbH</t>
        </is>
      </c>
      <c r="B447" t="inlineStr">
        <is>
          <t>德国</t>
        </is>
      </c>
      <c r="C447" t="inlineStr">
        <is>
          <t>霍赫斯泰因</t>
        </is>
      </c>
      <c r="D447" t="inlineStr">
        <is>
          <t>铝业公司</t>
        </is>
      </c>
      <c r="E447" t="inlineStr">
        <is>
          <t>铝业</t>
        </is>
      </c>
      <c r="F447" t="inlineStr">
        <is>
          <t>铝街 1号，41515 格雷文布罗赫，德国</t>
        </is>
      </c>
      <c r="G447" s="2" t="str">
        <f>=HYPERLINK("http://www.speira.com/", "http://www.speira.com/")</f>
        <v>http://www.speira.com/</v>
      </c>
      <c r="H447" t="inlineStr">
        <is>
          <t>作为欧洲领先的铝轧制企业，公司生产高质量铝板带材，特别专注于汽车、包装行业所需的轻量化解决方案，并积极推进铝的闭环回收体系。</t>
        </is>
      </c>
      <c r="I447" t="inlineStr">
        <is>
          <t>Moritz Hansen</t>
        </is>
      </c>
      <c r="J447" t="inlineStr">
        <is>
          <t>执行管理人员</t>
        </is>
      </c>
      <c r="K447"/>
      <c r="L447" s="2" t="str">
        <f>=HYPERLINK("http://领英：https://www.linkedin.com/in/moritz-r-hansen/", "领英：https://www.linkedin.com/in/moritz-r-hansen/")</f>
        <v>领英：https://www.linkedin.com/in/moritz-r-hansen/</v>
      </c>
      <c r="M447" t="inlineStr">
        <is>
          <t>+4921816601</t>
        </is>
      </c>
      <c r="N447" s="3">
        <v>46044</v>
      </c>
      <c r="O447" t="inlineStr">
        <is>
          <t>推进中</t>
        </is>
      </c>
      <c r="P447"/>
      <c r="Q447" t="inlineStr">
        <is>
          <t>上海铝业协会-德国奥地利匈牙利</t>
        </is>
      </c>
      <c r="R447"/>
      <c r="S447"/>
      <c r="T447"/>
    </row>
    <row r="448" ht="25.5" customHeight="1">
      <c r="A448" t="inlineStr">
        <is>
          <t>阿普特·希勒有限公司 / apt Hiller GmbH</t>
        </is>
      </c>
      <c r="B448" t="inlineStr">
        <is>
          <t>德国</t>
        </is>
      </c>
      <c r="C448" t="inlineStr">
        <is>
          <t>莱茵</t>
        </is>
      </c>
      <c r="D448" t="inlineStr">
        <is>
          <t>铝业公司</t>
        </is>
      </c>
      <c r="E448" t="inlineStr">
        <is>
          <t>铝业</t>
        </is>
      </c>
      <c r="F448" t="inlineStr">
        <is>
          <t>戴姆勒街 10号，40789 莱茵河畔蒙海姆，德国</t>
        </is>
      </c>
      <c r="G448" s="2" t="str">
        <f>=HYPERLINK("http://www.apt-alu-products.com/?utm_source=google&amp;utm_medium=organic&amp;utm_campaign=mybusiness", "http://www.apt-alu-products.com/?utm_source=google&amp;utm_medium=organic&amp;utm_campaign=mybusiness")</f>
        <v>http://www.apt-alu-products.com/?utm_source=google&amp;utm_medium=organic&amp;utm_campaign=mybusiness</v>
      </c>
      <c r="H448" t="inlineStr">
        <is>
          <t>专注于铝材的精密加工与组件制造，服务于汽车、机械制造等领域，通过切削、焊接等工艺实现复杂零部件生产，强调技术精度与可靠性。</t>
        </is>
      </c>
      <c r="I448"/>
      <c r="J448"/>
      <c r="K448"/>
      <c r="L448" s="2" t="str">
        <f>=HYPERLINK("http://在线联系：https://www.apt-alu-products.com/kontakt/", "在线联系：https://www.apt-alu-products.com/kontakt/")</f>
        <v>在线联系：https://www.apt-alu-products.com/kontakt/</v>
      </c>
      <c r="M448" t="inlineStr">
        <is>
          <t>+4921739620</t>
        </is>
      </c>
      <c r="N448" s="3">
        <v>46044</v>
      </c>
      <c r="O448" t="inlineStr">
        <is>
          <t>已联系未回复</t>
        </is>
      </c>
      <c r="P448"/>
      <c r="Q448" t="inlineStr">
        <is>
          <t>上海铝业协会-德国奥地利匈牙利</t>
        </is>
      </c>
      <c r="R448"/>
      <c r="S448"/>
      <c r="T448"/>
    </row>
    <row r="449" ht="25.5" customHeight="1">
      <c r="A449" t="inlineStr">
        <is>
          <t>贝克尔铝业服务有限公司 / Becker Aluminum-Service GmbH</t>
        </is>
      </c>
      <c r="B449" t="inlineStr">
        <is>
          <t>德国</t>
        </is>
      </c>
      <c r="C449" t="inlineStr">
        <is>
          <t>维尔茨堡</t>
        </is>
      </c>
      <c r="D449" t="inlineStr">
        <is>
          <t>铝业公司</t>
        </is>
      </c>
      <c r="E449" t="inlineStr">
        <is>
          <t>铝业</t>
        </is>
      </c>
      <c r="F449" t="inlineStr">
        <is>
          <t>韦特费尔德街 59号，59199 伯嫩，德国</t>
        </is>
      </c>
      <c r="G449" s="2" t="str">
        <f>=HYPERLINK("http://www.becker-stahl-service.de/", "http://www.becker-stahl-service.de/")</f>
        <v>http://www.becker-stahl-service.de/</v>
      </c>
      <c r="H449" t="inlineStr">
        <is>
          <t>提供铝材贸易、仓储与加工服务，涵盖板材、型材等多种产品，通过灵活的供应链管理与定制切割，满足工业客户对铝材的多样化需求。</t>
        </is>
      </c>
      <c r="I449"/>
      <c r="J449"/>
      <c r="K449"/>
      <c r="L449" s="2" t="str">
        <f>=HYPERLINK("mailto:info@becker-metals.com", "info@becker-metals.com")</f>
        <v>info@becker-metals.com</v>
      </c>
      <c r="M449" t="inlineStr">
        <is>
          <t>+4923839340</t>
        </is>
      </c>
      <c r="N449" s="3">
        <v>46044</v>
      </c>
      <c r="O449" t="inlineStr">
        <is>
          <t>已联系未回复</t>
        </is>
      </c>
      <c r="P449"/>
      <c r="Q449" t="inlineStr">
        <is>
          <t>上海铝业协会-德国奥地利匈牙利</t>
        </is>
      </c>
      <c r="R449"/>
      <c r="S449"/>
      <c r="T449"/>
    </row>
    <row r="450" ht="25.5" customHeight="1">
      <c r="A450" t="inlineStr">
        <is>
          <t>魏桥德国有限责任公司 / Weiqiao Germany GmbH</t>
        </is>
      </c>
      <c r="B450" t="inlineStr">
        <is>
          <t>德国</t>
        </is>
      </c>
      <c r="C450" t="inlineStr">
        <is>
          <t>杜斯尔多夫</t>
        </is>
      </c>
      <c r="D450" t="inlineStr">
        <is>
          <t>铝业公司</t>
        </is>
      </c>
      <c r="E450" t="inlineStr">
        <is>
          <t>铝业</t>
        </is>
      </c>
      <c r="F450" t="inlineStr">
        <is>
          <t>凯街 2号，40221 杜塞尔多夫，德国</t>
        </is>
      </c>
      <c r="G450" s="2" t="str">
        <f>=HYPERLINK("https://weiqiaogermany.de/", "https://weiqiaogermany.de/")</f>
        <v>https://weiqiaogermany.de/</v>
      </c>
      <c r="H450" t="inlineStr">
        <is>
          <t>作为中国魏桥创业集团在德国的分支，公司致力于铝产品贸易与供应链服务，促进中欧铝业市场对接，重点关注轻量化材料与可持续发展。</t>
        </is>
      </c>
      <c r="I450"/>
      <c r="J450"/>
      <c r="K450"/>
      <c r="L450" s="2" t="str">
        <f>=HYPERLINK("mailto:info@weiqiaogermany.com", "info@weiqiaogermany.com")</f>
        <v>info@weiqiaogermany.com</v>
      </c>
      <c r="M450" t="inlineStr">
        <is>
          <t>+49 (0) 211 9159 8838</t>
        </is>
      </c>
      <c r="N450" s="3">
        <v>46044</v>
      </c>
      <c r="O450" t="inlineStr">
        <is>
          <t>已联系未回复</t>
        </is>
      </c>
      <c r="P450"/>
      <c r="Q450" t="inlineStr">
        <is>
          <t>上海铝业协会-德国奥地利匈牙利</t>
        </is>
      </c>
      <c r="R450"/>
      <c r="S450"/>
      <c r="T450"/>
    </row>
    <row r="451" ht="25.5" customHeight="1">
      <c r="A451" t="inlineStr">
        <is>
          <t>西马克集团赫特维奇工程公司 / SMS group Hertwich</t>
        </is>
      </c>
      <c r="B451" t="inlineStr">
        <is>
          <t>德国</t>
        </is>
      </c>
      <c r="C451" t="inlineStr">
        <is>
          <t>杜塞尔多夫</t>
        </is>
      </c>
      <c r="D451" t="inlineStr">
        <is>
          <t>铝业公司</t>
        </is>
      </c>
      <c r="E451" t="inlineStr">
        <is>
          <t>铝业</t>
        </is>
      </c>
      <c r="F451" t="inlineStr">
        <is>
          <t>奥勒尔教堂路 66号，41069 门兴格拉德巴赫，德国</t>
        </is>
      </c>
      <c r="G451" s="2" t="str">
        <f>=HYPERLINK("http://www.sms-group.com/", "http://www.sms-group.com/")</f>
        <v>http://www.sms-group.com/</v>
      </c>
      <c r="H451" t="inlineStr">
        <is>
          <t>专为铝工业提供先进设备和生产线解决方案，涵盖熔炼、铸造、热处理等领域，以创新工程技术支持全球铝加工企业提升产能与产品质量。</t>
        </is>
      </c>
      <c r="I451"/>
      <c r="J451"/>
      <c r="K451"/>
      <c r="L451" s="2" t="str">
        <f>=HYPERLINK("mailto:communications@sms-group.com", "communications@sms-group.com")</f>
        <v>communications@sms-group.com</v>
      </c>
      <c r="M451" t="inlineStr">
        <is>
          <t>+4921613500</t>
        </is>
      </c>
      <c r="N451" s="3">
        <v>46044</v>
      </c>
      <c r="O451" t="inlineStr">
        <is>
          <t>已联系未回复</t>
        </is>
      </c>
      <c r="P451"/>
      <c r="Q451" t="inlineStr">
        <is>
          <t>上海铝业协会-德国奥地利匈牙利</t>
        </is>
      </c>
      <c r="R451"/>
      <c r="S451"/>
      <c r="T451"/>
    </row>
    <row r="452" ht="25.5" customHeight="1">
      <c r="A452" t="inlineStr">
        <is>
          <t>阿利梅克斯有限公司 / alimex GmbH</t>
        </is>
      </c>
      <c r="B452" t="inlineStr">
        <is>
          <t>德国</t>
        </is>
      </c>
      <c r="C452" t="inlineStr">
        <is>
          <t>施塔芬</t>
        </is>
      </c>
      <c r="D452" t="inlineStr">
        <is>
          <t>铝业公司</t>
        </is>
      </c>
      <c r="E452" t="inlineStr">
        <is>
          <t>铝业</t>
        </is>
      </c>
      <c r="F452" t="inlineStr">
        <is>
          <t>卡尔-阿诺德大街 14-16号，47877 维利希，德国</t>
        </is>
      </c>
      <c r="G452" s="2" t="str">
        <f>=HYPERLINK("https://www.alimex.de/", "https://www.alimex.de/")</f>
        <v>https://www.alimex.de/</v>
      </c>
      <c r="H452" t="inlineStr">
        <is>
          <t>专注于铝挤压型材的生产与深加工，产品应用于建筑、家居等行业，注重表面处理与个性化设计，为客户提供灵活高效的铝材解决方案。</t>
        </is>
      </c>
      <c r="I452"/>
      <c r="J452"/>
      <c r="K452"/>
      <c r="L452" s="2" t="str">
        <f>=HYPERLINK("mailto:contact@alimex.de", "contact@alimex.de")</f>
        <v>contact@alimex.de</v>
      </c>
      <c r="M452" t="inlineStr">
        <is>
          <t>+49215491770</t>
        </is>
      </c>
      <c r="N452" s="3">
        <v>46044</v>
      </c>
      <c r="O452" t="inlineStr">
        <is>
          <t>已联系未回复</t>
        </is>
      </c>
      <c r="P452"/>
      <c r="Q452" t="inlineStr">
        <is>
          <t>上海铝业协会-德国奥地利匈牙利</t>
        </is>
      </c>
      <c r="R452"/>
      <c r="S452"/>
      <c r="T452"/>
    </row>
    <row r="453" ht="25.5" customHeight="1">
      <c r="A453" t="inlineStr">
        <is>
          <t>埃布斯勒铝业公司 / Erbslöh Aluminium GmbH</t>
        </is>
      </c>
      <c r="B453" t="inlineStr">
        <is>
          <t>德国</t>
        </is>
      </c>
      <c r="C453" t="inlineStr">
        <is>
          <t>埃尔芬</t>
        </is>
      </c>
      <c r="D453" t="inlineStr">
        <is>
          <t>铝业公司</t>
        </is>
      </c>
      <c r="E453" t="inlineStr">
        <is>
          <t>铝业</t>
        </is>
      </c>
      <c r="F453" t="inlineStr">
        <is>
          <t>西本艾克街 235号，42553 费尔伯特，德国</t>
        </is>
      </c>
      <c r="G453" s="2" t="str">
        <f>=HYPERLINK("http://www.wkw.de/", "http://www.wkw.de/")</f>
        <v>http://www.wkw.de/</v>
      </c>
      <c r="H453" t="inlineStr">
        <is>
          <t>在铝材开发与加工领域拥有长期经验，专注于高端合金、挤压型材及组件，服务于航空、汽车等高科技行业，以材料研发和工艺专业性著称。</t>
        </is>
      </c>
      <c r="I453"/>
      <c r="J453"/>
      <c r="K453"/>
      <c r="L453" s="2" t="str">
        <f>=HYPERLINK("mailto:info@wkw-group.com", "info@wkw-group.com")</f>
        <v>info@wkw-group.com</v>
      </c>
      <c r="M453" t="inlineStr">
        <is>
          <t>+492053951200</t>
        </is>
      </c>
      <c r="N453" s="3">
        <v>46044</v>
      </c>
      <c r="O453" t="inlineStr">
        <is>
          <t>拒绝</t>
        </is>
      </c>
      <c r="P453" t="inlineStr">
        <is>
          <t>德国的分公司现阶段濒临倒闭，无法接待</t>
        </is>
      </c>
      <c r="Q453" t="inlineStr">
        <is>
          <t>上海铝业协会-德国奥地利匈牙利</t>
        </is>
      </c>
      <c r="R453"/>
      <c r="S453"/>
      <c r="T453"/>
    </row>
    <row r="454" ht="25.5" customHeight="1">
      <c r="A454" t="inlineStr">
        <is>
          <t>诺威利斯公司斯图加特办事处/Novelis Deutschland GmbH Standort Stuttgart</t>
        </is>
      </c>
      <c r="B454" t="inlineStr">
        <is>
          <t>德国</t>
        </is>
      </c>
      <c r="C454" t="inlineStr">
        <is>
          <t>斯图加特</t>
        </is>
      </c>
      <c r="D454" t="inlineStr">
        <is>
          <t>铝业公司</t>
        </is>
      </c>
      <c r="E454" t="inlineStr">
        <is>
          <t>铝业</t>
        </is>
      </c>
      <c r="F454" t="inlineStr">
        <is>
          <t>米特勒尔路 19号
70499 斯图加特市
德国</t>
        </is>
      </c>
      <c r="G454" s="2" t="str">
        <f>=HYPERLINK("http://novelis.com/", "http://novelis.com/")</f>
        <v>http://novelis.com/</v>
      </c>
      <c r="H454" t="inlineStr">
        <is>
          <t>诺威利斯斯图加特办事处是这家全球领先铝轧制品和回收企业的重要分支之一。它专注于为客户提供创新且可持续的铝材解决方案，尤其在汽车和特种材料领域。办事处利用集团的先进技术，推动轻量化铝材的应用，并致力于本地化的技术服务与客户支持，体现了诺威利斯在欧洲市场的深入布局。</t>
        </is>
      </c>
      <c r="I454"/>
      <c r="J454"/>
      <c r="K454"/>
      <c r="L454" s="2" t="str">
        <f>=HYPERLINK("http://在线联系表格：https://zh-hans.novelis.com/contact/", "在线联系表格：https://zh-hans.novelis.com/contact/")</f>
        <v>在线联系表格：https://zh-hans.novelis.com/contact/</v>
      </c>
      <c r="M454" t="inlineStr">
        <is>
          <t>+49 (0) 711 814 776 0</t>
        </is>
      </c>
      <c r="N454" s="3">
        <v>46044</v>
      </c>
      <c r="O454" t="inlineStr">
        <is>
          <t>已联系未回复</t>
        </is>
      </c>
      <c r="P454"/>
      <c r="Q454" t="inlineStr">
        <is>
          <t>上海铝业协会-德国奥地利匈牙利</t>
        </is>
      </c>
      <c r="R454"/>
      <c r="S454"/>
      <c r="T454"/>
    </row>
    <row r="455" ht="25.5" customHeight="1">
      <c r="A455" t="inlineStr">
        <is>
          <t>浩瀚海慈循环科技 (德国总部)/Hahn &amp; Co. Recycling</t>
        </is>
      </c>
      <c r="B455" t="inlineStr">
        <is>
          <t>德国</t>
        </is>
      </c>
      <c r="C455" t="inlineStr">
        <is>
          <t>巴伦巴赫</t>
        </is>
      </c>
      <c r="D455" t="inlineStr">
        <is>
          <t>公司</t>
        </is>
      </c>
      <c r="E455" t="inlineStr">
        <is>
          <t>有色金属</t>
        </is>
      </c>
      <c r="F455" t="inlineStr">
        <is>
          <t>建筑 1027，55483 巴伦巴赫，德国</t>
        </is>
      </c>
      <c r="G455" s="2" t="str">
        <f>=HYPERLINK("https://www.hanit.de/", "https://www.hanit.de/")</f>
        <v>https://www.hanit.de/</v>
      </c>
      <c r="H455" t="inlineStr">
        <is>
          <t>作为德国知名的金属回收企业，浩瀚海慈循环科技致力于各类废旧金属的回收、分拣与加工处理。公司特别重视铝材等有色金属的循环再生，通过先进的技术将回收材料转化为高质量的工业原料。其业务有力支持了循环经济的发展，为减少资源消耗和环境影响做出了积极贡献。</t>
        </is>
      </c>
      <c r="I455"/>
      <c r="J455"/>
      <c r="K455"/>
      <c r="L455" s="2" t="str">
        <f>=HYPERLINK("mailto:info@hanit.de", "info@hanit.deinfo@hahnkunststoffe.de")</f>
        <v>info@hanit.deinfo@hahnkunststoffe.de</v>
      </c>
      <c r="M455" t="inlineStr">
        <is>
          <t>+49654398860</t>
        </is>
      </c>
      <c r="N455" s="3">
        <v>46044</v>
      </c>
      <c r="O455" t="inlineStr">
        <is>
          <t>已联系未回复</t>
        </is>
      </c>
      <c r="P455"/>
      <c r="Q455" t="inlineStr">
        <is>
          <t>上海铝业协会-德国奥地利匈牙利</t>
        </is>
      </c>
      <c r="R455"/>
      <c r="S455"/>
      <c r="T455"/>
    </row>
    <row r="456" ht="25.5" customHeight="1">
      <c r="A456" t="inlineStr">
        <is>
          <t>阿路弗姆公司/Aluform GmbH</t>
        </is>
      </c>
      <c r="B456" t="inlineStr">
        <is>
          <t>德国</t>
        </is>
      </c>
      <c r="C456" t="inlineStr">
        <is>
          <t>巴德</t>
        </is>
      </c>
      <c r="D456" t="inlineStr">
        <is>
          <t>公司</t>
        </is>
      </c>
      <c r="E456" t="inlineStr">
        <is>
          <t>铝业</t>
        </is>
      </c>
      <c r="F456" t="inlineStr">
        <is>
          <t>上磨坊路 23-27，74906 巴德·拉彭瑙，德国</t>
        </is>
      </c>
      <c r="G456" s="2" t="str">
        <f>=HYPERLINK("https://www.aluform-gmbh.de/", "https://www.aluform-gmbh.de/")</f>
        <v>https://www.aluform-gmbh.de/</v>
      </c>
      <c r="H456" t="inlineStr">
        <is>
          <t>阿路弗姆公司是一家专注于铝型材和金属加工解决方案的专业企业。凭借先进的生产设备和丰富的行业经验，公司为建筑、工业和特殊应用领域提供高品质的定制化铝型材产品。其对材料性能和精度的严格把控，确保了产品在强度、轻量化和耐久性方面的卓越表现。</t>
        </is>
      </c>
      <c r="I456"/>
      <c r="J456"/>
      <c r="K456"/>
      <c r="L456" s="2" t="str">
        <f>=HYPERLINK("mailto:info@aluform-gmbh.de", "info@aluform-gmbh.de")</f>
        <v>info@aluform-gmbh.de</v>
      </c>
      <c r="M456" t="inlineStr">
        <is>
          <t>+49 (0) 7066 99880</t>
        </is>
      </c>
      <c r="N456" s="3">
        <v>46044</v>
      </c>
      <c r="O456" t="inlineStr">
        <is>
          <t>已联系未回复</t>
        </is>
      </c>
      <c r="P456"/>
      <c r="Q456" t="inlineStr">
        <is>
          <t>上海铝业协会-德国奥地利匈牙利</t>
        </is>
      </c>
      <c r="R456"/>
      <c r="S456"/>
      <c r="T456"/>
    </row>
    <row r="457" ht="25.5" customHeight="1">
      <c r="A457" t="inlineStr">
        <is>
          <t>海德鲁铝卷产品有限公司/Hydro Aluminium Rolled Products GmbH</t>
        </is>
      </c>
      <c r="B457" t="inlineStr">
        <is>
          <t>德国</t>
        </is>
      </c>
      <c r="C457" t="inlineStr">
        <is>
          <t>奥芬堡</t>
        </is>
      </c>
      <c r="D457" t="inlineStr">
        <is>
          <t>铝业公司</t>
        </is>
      </c>
      <c r="E457" t="inlineStr">
        <is>
          <t>铝业</t>
        </is>
      </c>
      <c r="F457" t="inlineStr">
        <is>
          <t>工业街 10号，77656 奥芬堡，德国</t>
        </is>
      </c>
      <c r="G457" s="2" t="str">
        <f>=HYPERLINK("http://www.hydro.com/offenburg", "http://www.hydro.com/offenburg")</f>
        <v>http://www.hydro.com/offenburg</v>
      </c>
      <c r="H457" t="inlineStr">
        <is>
          <t>海德鲁铝卷产品公司隶属于挪威海德鲁集团，是欧洲铝轧制行业的重要参与者。公司生产高质量的铝板带和卷材，广泛应用于汽车、包装及工业领域。通过持续的技术创新和对可持续发展的承诺，公司致力于提供轻量化、可回收的铝材解决方案，满足市场的高标准需求。</t>
        </is>
      </c>
      <c r="I457"/>
      <c r="J457"/>
      <c r="K457"/>
      <c r="L457" s="2" t="str">
        <f>=HYPERLINK("mailto:sales.dach@hydro.com", "sales.dach@hydro.com")</f>
        <v>sales.dach@hydro.com</v>
      </c>
      <c r="M457" t="inlineStr">
        <is>
          <t>+49 781 5060</t>
        </is>
      </c>
      <c r="N457" s="3">
        <v>46044</v>
      </c>
      <c r="O457" t="inlineStr">
        <is>
          <t>已联系未回复</t>
        </is>
      </c>
      <c r="P457"/>
      <c r="Q457" t="inlineStr">
        <is>
          <t>上海铝业协会-德国奥地利匈牙利</t>
        </is>
      </c>
      <c r="R457"/>
      <c r="S457"/>
      <c r="T457"/>
    </row>
    <row r="458" ht="25.5" customHeight="1">
      <c r="A458" t="inlineStr">
        <is>
          <t>诺威利斯科布伦茨公司/Novelis Koblenz GmbH</t>
        </is>
      </c>
      <c r="B458" t="inlineStr">
        <is>
          <t>德国</t>
        </is>
      </c>
      <c r="C458" t="inlineStr">
        <is>
          <t>科布伦茨</t>
        </is>
      </c>
      <c r="D458" t="inlineStr">
        <is>
          <t>铝业公司</t>
        </is>
      </c>
      <c r="E458" t="inlineStr">
        <is>
          <t>铝业</t>
        </is>
      </c>
      <c r="F458" t="inlineStr">
        <is>
          <t>卡尔·斯帕特街 10号，56070 科布伦茨，德国</t>
        </is>
      </c>
      <c r="G458" s="2" t="str">
        <f>=HYPERLINK("https://www.novelis.com/", "https://www.novelis.com/")</f>
        <v>https://www.novelis.com/</v>
      </c>
      <c r="H458" t="inlineStr">
        <is>
          <t>诺威利斯科布伦茨公司是诺威利斯在德国的重要生产基地，专注于铝板带材的轧制与加工。工厂拥有现代化的生产线，为汽车、运输和特种行业提供高性能的铝材产品。公司注重生产效率和材料创新，其产品在轻量化和可持续性方面具有显著优势，服务于欧洲乃至全球的高端市场。</t>
        </is>
      </c>
      <c r="I458"/>
      <c r="J458"/>
      <c r="K458"/>
      <c r="L458" s="2" t="str">
        <f>=HYPERLINK("http://在线联系表格：https://novelis.com/contact/", "在线联系表格：https://novelis.com/contact/")</f>
        <v>在线联系表格：https://novelis.com/contact/</v>
      </c>
      <c r="M458" t="inlineStr">
        <is>
          <t>+492618910</t>
        </is>
      </c>
      <c r="N458" s="3">
        <v>46044</v>
      </c>
      <c r="O458" t="inlineStr">
        <is>
          <t>拒绝</t>
        </is>
      </c>
      <c r="P458"/>
      <c r="Q458" t="inlineStr">
        <is>
          <t>上海铝业协会-德国奥地利匈牙利</t>
        </is>
      </c>
      <c r="R458"/>
      <c r="S458"/>
      <c r="T458"/>
    </row>
    <row r="459" ht="25.5" customHeight="1">
      <c r="A459" t="inlineStr">
        <is>
          <t>莱茵普拉斯特公司/Rhein-Plast GmbH</t>
        </is>
      </c>
      <c r="B459" t="inlineStr">
        <is>
          <t>德国</t>
        </is>
      </c>
      <c r="C459" t="inlineStr">
        <is>
          <t>巴德</t>
        </is>
      </c>
      <c r="D459" t="inlineStr">
        <is>
          <t>公司</t>
        </is>
      </c>
      <c r="E459" t="inlineStr">
        <is>
          <t>有色金属</t>
        </is>
      </c>
      <c r="F459" t="inlineStr">
        <is>
          <t>阿尔滕巴赫街 24-26号，67098 巴德·杜尔海姆，德国</t>
        </is>
      </c>
      <c r="G459" s="2" t="str">
        <f>=HYPERLINK("http://www.rhein-plast.de/", "http://www.rhein-plast.de/")</f>
        <v>http://www.rhein-plast.de/</v>
      </c>
      <c r="H459" t="inlineStr">
        <is>
          <t>莱茵普拉斯特公司是一家在塑料和金属复合组件领域拥有专长的企业。公司通过注塑成型和精密加工技术，生产用于汽车、电气等行业的定制化部件。其在金属嵌件成型和复合材料的整合方面具备独特技术，为客户提供轻量化、高强度的功能性解决方案。</t>
        </is>
      </c>
      <c r="I459"/>
      <c r="J459"/>
      <c r="K459"/>
      <c r="L459" s="2" t="str">
        <f>=HYPERLINK("mailto:info@rhein-plast.de", "info@rhein-plast.de")</f>
        <v>info@rhein-plast.de</v>
      </c>
      <c r="M459" t="inlineStr">
        <is>
          <t>+4963227980</t>
        </is>
      </c>
      <c r="N459" s="3">
        <v>46044</v>
      </c>
      <c r="O459" t="inlineStr">
        <is>
          <t>已联系未回复</t>
        </is>
      </c>
      <c r="P459"/>
      <c r="Q459" t="inlineStr">
        <is>
          <t>上海铝业协会-德国奥地利匈牙利</t>
        </is>
      </c>
      <c r="R459"/>
      <c r="S459"/>
      <c r="T459"/>
    </row>
    <row r="460" ht="25.5" customHeight="1">
      <c r="A460" t="inlineStr">
        <is>
          <t>EG铝业公司/EG Aluminium GmbH</t>
        </is>
      </c>
      <c r="B460" t="inlineStr">
        <is>
          <t>德国</t>
        </is>
      </c>
      <c r="C460" t="inlineStr">
        <is>
          <t>海利格克鲁茨施泰纳赫</t>
        </is>
      </c>
      <c r="D460" t="inlineStr">
        <is>
          <t>铝业公司</t>
        </is>
      </c>
      <c r="E460" t="inlineStr">
        <is>
          <t>铝业</t>
        </is>
      </c>
      <c r="F460" t="inlineStr">
        <is>
          <t>诺因纳克街 5号，69253 海利格克鲁茨施泰纳赫，德国</t>
        </is>
      </c>
      <c r="G460" s="2" t="str">
        <f>=HYPERLINK("https://eg-aluminium.de/", "https://eg-aluminium.de/")</f>
        <v>https://eg-aluminium.de/</v>
      </c>
      <c r="H460" t="inlineStr">
        <is>
          <t>EG铝业公司是一家致力于铝材加工和部件制造的专业厂商。公司业务涵盖从铝材贸易到精密加工的全流程，为客户提供各类铝制半成品和定制部件。凭借对材料特性的深入理解和灵活的生产能力，公司在工业配套和项目制造领域建立了可靠的声誉。</t>
        </is>
      </c>
      <c r="I460"/>
      <c r="J460"/>
      <c r="K460"/>
      <c r="L460" s="2" t="str">
        <f>=HYPERLINK("mailto:info@eg-aluminium.de", "info@eg-aluminium.de")</f>
        <v>info@eg-aluminium.de</v>
      </c>
      <c r="M460" t="inlineStr">
        <is>
          <t>+4962209157787</t>
        </is>
      </c>
      <c r="N460" s="3">
        <v>46044</v>
      </c>
      <c r="O460" t="inlineStr">
        <is>
          <t>已联系未回复</t>
        </is>
      </c>
      <c r="P460"/>
      <c r="Q460" t="inlineStr">
        <is>
          <t>上海铝业协会-德国奥地利匈牙利</t>
        </is>
      </c>
      <c r="R460"/>
      <c r="S460"/>
      <c r="T460"/>
    </row>
    <row r="461" ht="25.5" customHeight="1">
      <c r="A461" t="inlineStr">
        <is>
          <t>KS华域铝技术公司/KS HUAYU AluTech GmbH</t>
        </is>
      </c>
      <c r="B461" t="inlineStr">
        <is>
          <t>德国</t>
        </is>
      </c>
      <c r="C461" t="inlineStr">
        <is>
          <t>内卡苏尔姆</t>
        </is>
      </c>
      <c r="D461" t="inlineStr">
        <is>
          <t>铝业公司</t>
        </is>
      </c>
      <c r="E461" t="inlineStr">
        <is>
          <t>铝业</t>
        </is>
      </c>
      <c r="F461" t="inlineStr">
        <is>
          <t>港口街 25号，74172 内卡苏尔姆，德国</t>
        </is>
      </c>
      <c r="G461" s="2" t="str">
        <f>=HYPERLINK("http://www.kshuayualutech.com/", "http://www.kshuayualutech.com/")</f>
        <v>http://www.kshuayualutech.com/</v>
      </c>
      <c r="H461" t="inlineStr">
        <is>
          <t>KS华域铝技术公司是由中德合资成立的铝技术企业，专注于汽车铝制部件的研发与生产。公司融合了先进成型工艺和轻量化技术，为全球汽车行业提供高质量的铝压铸件和结构组件。其业务突出技术创新与跨区域协作，致力于推动铝材在移动出行领域的更广泛应用。</t>
        </is>
      </c>
      <c r="I461"/>
      <c r="J461"/>
      <c r="K461"/>
      <c r="L461" s="2" t="str">
        <f>=HYPERLINK("mailto:kshuayu@de.rheinmetall.com", "kshuayu@de.rheinmetall.com")</f>
        <v>kshuayu@de.rheinmetall.com</v>
      </c>
      <c r="M461" t="inlineStr">
        <is>
          <t>+498809655890</t>
        </is>
      </c>
      <c r="N461" s="3">
        <v>46044</v>
      </c>
      <c r="O461" t="inlineStr">
        <is>
          <t>已联系未回复</t>
        </is>
      </c>
      <c r="P461"/>
      <c r="Q461" t="inlineStr">
        <is>
          <t>上海铝业协会-德国奥地利匈牙利</t>
        </is>
      </c>
      <c r="R461"/>
      <c r="S461"/>
      <c r="T461"/>
    </row>
    <row r="462" ht="25.5" customHeight="1">
      <c r="A462" t="inlineStr">
        <is>
          <t>阿路泰克公司/Alu TecProfile GmbH</t>
        </is>
      </c>
      <c r="B462" t="inlineStr">
        <is>
          <t>德国</t>
        </is>
      </c>
      <c r="C462" t="inlineStr">
        <is>
          <t>雷姆塞克·阿姆·内卡</t>
        </is>
      </c>
      <c r="D462" t="inlineStr">
        <is>
          <t>铝业公司</t>
        </is>
      </c>
      <c r="E462" t="inlineStr">
        <is>
          <t>铝业</t>
        </is>
      </c>
      <c r="F462" t="inlineStr">
        <is>
          <t>韦格兰德街 7号，71686 雷姆塞克·阿姆·内卡，德国</t>
        </is>
      </c>
      <c r="G462" s="2" t="str">
        <f>=HYPERLINK("http://alutecprofile.com/", "http://alutecprofile.com/")</f>
        <v>http://alutecprofile.com/</v>
      </c>
      <c r="H462" t="inlineStr">
        <is>
          <t>阿路泰克公司是一家专注于铝型材设计和精密加工的技术型企业。公司提供从型材开发、挤压到表面处理的全套服务，产品广泛应用于建筑幕墙、工业框架及特种设备。其对细节和质量的控制确保了产品在结构性能和外观上的高标准，能够满足多样化的客户需求。</t>
        </is>
      </c>
      <c r="I462"/>
      <c r="J462"/>
      <c r="K462"/>
      <c r="L462" s="2" t="str">
        <f>=HYPERLINK("http://在线联系表格：https://www.aluteclines.com/kontakt", "在线联系表格：https://www.aluteclines.com/kontakt")</f>
        <v>在线联系表格：https://www.aluteclines.com/kontakt</v>
      </c>
      <c r="M462" t="inlineStr">
        <is>
          <t>+4971469396912</t>
        </is>
      </c>
      <c r="N462" s="3">
        <v>46044</v>
      </c>
      <c r="O462" t="inlineStr">
        <is>
          <t>已联系未回复</t>
        </is>
      </c>
      <c r="P462"/>
      <c r="Q462" t="inlineStr">
        <is>
          <t>上海铝业协会-德国奥地利匈牙利</t>
        </is>
      </c>
      <c r="R462"/>
      <c r="S462"/>
      <c r="T462"/>
    </row>
    <row r="463" ht="25.5" customHeight="1">
      <c r="A463" t="inlineStr">
        <is>
          <t>埃克特金属铸造公司/Metallguss Eckert GmbH</t>
        </is>
      </c>
      <c r="B463" t="inlineStr">
        <is>
          <t>德国</t>
        </is>
      </c>
      <c r="C463" t="inlineStr">
        <is>
          <t>达姆施塔特</t>
        </is>
      </c>
      <c r="D463" t="inlineStr">
        <is>
          <t>公司</t>
        </is>
      </c>
      <c r="E463" t="inlineStr">
        <is>
          <t>有色金属</t>
        </is>
      </c>
      <c r="F463" t="inlineStr">
        <is>
          <t>工厂街 4号，64293 达姆施塔特，德国</t>
        </is>
      </c>
      <c r="G463" s="2" t="str">
        <f>=HYPERLINK("https://www.eckert-guss.de/", "https://www.eckert-guss.de/")</f>
        <v>https://www.eckert-guss.de/</v>
      </c>
      <c r="H463" t="inlineStr">
        <is>
          <t>埃克特金属铸造公司是一家历史悠久的精密铸造企业，专注于铝、锌等有色金属的铸件生产。公司采用先进的铸造和后续加工技术，制造出尺寸精确、结构复杂的金属部件。其产品主要服务于汽车、机械和电气行业，以可靠的质量和专业的工程支持赢得客户信赖。</t>
        </is>
      </c>
      <c r="I463"/>
      <c r="J463"/>
      <c r="K463"/>
      <c r="L463" s="2" t="str">
        <f>=HYPERLINK("mailto:info@eckert-guss.de", "info@eckert-guss.de")</f>
        <v>info@eckert-guss.de</v>
      </c>
      <c r="M463" t="inlineStr">
        <is>
          <t>+496151428580</t>
        </is>
      </c>
      <c r="N463" s="3">
        <v>46044</v>
      </c>
      <c r="O463" t="inlineStr">
        <is>
          <t>已联系未回复</t>
        </is>
      </c>
      <c r="P463"/>
      <c r="Q463" t="inlineStr">
        <is>
          <t>上海铝业协会-德国奥地利匈牙利</t>
        </is>
      </c>
      <c r="R463"/>
      <c r="S463"/>
      <c r="T463"/>
    </row>
    <row r="464" ht="25.5" customHeight="1">
      <c r="A464" t="inlineStr">
        <is>
          <t>纽曼铝业 / Neuman Aluminium</t>
        </is>
      </c>
      <c r="B464" t="inlineStr">
        <is>
          <t>奥地利</t>
        </is>
      </c>
      <c r="C464" t="inlineStr">
        <is>
          <t>马尔科特尔</t>
        </is>
      </c>
      <c r="D464" t="inlineStr">
        <is>
          <t>铝业公司</t>
        </is>
      </c>
      <c r="E464" t="inlineStr">
        <is>
          <t>铝业</t>
        </is>
      </c>
      <c r="F464" t="inlineStr">
        <is>
          <t>奥地利，马尔克特尔，工厂街1号，3182</t>
        </is>
      </c>
      <c r="G464" s="2" t="str">
        <f>=HYPERLINK("https://www.neuman.at/", "https://www.neuman.at/")</f>
        <v>https://www.neuman.at/</v>
      </c>
      <c r="H464" t="inlineStr">
        <is>
          <t>纽曼铝业是奥地利领先的铝加工企业，专注于铝挤压型材和高端表面处理。公司产品广泛应用于建筑、交通运输和航空航天领域，以其创新的技术和可持续的铝解决方案在欧洲市场享有盛誉。</t>
        </is>
      </c>
      <c r="I464"/>
      <c r="J464"/>
      <c r="K464"/>
      <c r="L464" s="2" t="str">
        <f>=HYPERLINK("mailto:office@neuman.at", "office@neuman.at")</f>
        <v>office@neuman.at</v>
      </c>
      <c r="M464" t="inlineStr">
        <is>
          <t>+43 (0) 2762 500-0</t>
        </is>
      </c>
      <c r="N464" s="3">
        <v>46044</v>
      </c>
      <c r="O464" t="inlineStr">
        <is>
          <t>已联系未回复</t>
        </is>
      </c>
      <c r="P464"/>
      <c r="Q464" t="inlineStr">
        <is>
          <t>上海铝业协会-德国奥地利匈牙利</t>
        </is>
      </c>
      <c r="R464"/>
      <c r="S464"/>
      <c r="T464"/>
    </row>
    <row r="465" ht="25.5" customHeight="1">
      <c r="A465" t="inlineStr">
        <is>
          <t>迪纳卡斯特维也纳纽施塔特 / Dynacast Wiener Neustadt, Austria</t>
        </is>
      </c>
      <c r="B465" t="inlineStr">
        <is>
          <t>奥地利</t>
        </is>
      </c>
      <c r="C465" t="inlineStr">
        <is>
          <t>泰因费尔德</t>
        </is>
      </c>
      <c r="D465" t="inlineStr">
        <is>
          <t>铝业公司</t>
        </is>
      </c>
      <c r="E465" t="inlineStr">
        <is>
          <t>铝业</t>
        </is>
      </c>
      <c r="F465" t="inlineStr">
        <is>
          <t>奥地利，韦凯斯多夫阿姆施泰因费尔德，技术街10号，2722</t>
        </is>
      </c>
      <c r="G465" s="2" t="str">
        <f>=HYPERLINK("https://www.dynacast.com/de-de", "https://www.dynacast.com/de-de")</f>
        <v>https://www.dynacast.com/de-de</v>
      </c>
      <c r="H465" t="inlineStr">
        <is>
          <t>作为精密压铸领域的专家，迪纳卡斯特维也纳纽施塔特工厂生产高品质的锌、铝及镁合金小型精密部件。其产品服务于汽车、电子和医疗行业，以精密的模具技术和可靠的供应链著称。</t>
        </is>
      </c>
      <c r="I465"/>
      <c r="J465"/>
      <c r="K465"/>
      <c r="L465" s="2" t="str">
        <f>=HYPERLINK("mailto:marketing@formtechnologies.com", "marketing@formtechnologies.com")</f>
        <v>marketing@formtechnologies.com</v>
      </c>
      <c r="M465" t="inlineStr">
        <is>
          <t>+432638206660</t>
        </is>
      </c>
      <c r="N465" s="3">
        <v>46044</v>
      </c>
      <c r="O465" t="inlineStr">
        <is>
          <t>已联系未回复</t>
        </is>
      </c>
      <c r="P465"/>
      <c r="Q465" t="inlineStr">
        <is>
          <t>上海铝业协会-德国奥地利匈牙利</t>
        </is>
      </c>
      <c r="R465"/>
      <c r="S465"/>
      <c r="T465"/>
    </row>
    <row r="466" ht="25.5" customHeight="1">
      <c r="A466" t="inlineStr">
        <is>
          <t>特莱巴赫工业公司 / Treibacher Industrie AG</t>
        </is>
      </c>
      <c r="B466" t="inlineStr">
        <is>
          <t>奥地利</t>
        </is>
      </c>
      <c r="C466" t="inlineStr">
        <is>
          <t>阿尔托芬</t>
        </is>
      </c>
      <c r="D466" t="inlineStr">
        <is>
          <t>铝业公司</t>
        </is>
      </c>
      <c r="E466" t="inlineStr">
        <is>
          <t>铝业</t>
        </is>
      </c>
      <c r="F466" t="inlineStr">
        <is>
          <t>奥地利，阿尔托芬，奥尔-冯-韦尔斯巴赫街1号，9330</t>
        </is>
      </c>
      <c r="G466" s="2" t="str">
        <f>=HYPERLINK("https://www.treibacher.com/", "https://www.treibacher.com/")</f>
        <v>https://www.treibacher.com/</v>
      </c>
      <c r="H466" t="inlineStr">
        <is>
          <t>特莱巴赫工业公司是特种金属和合金领域的知名制造商，尤其以碳化钨、硬质金属和稀土产品闻名。公司长期为冶金、化工和能源行业提供高性能材料与技术解决方案。</t>
        </is>
      </c>
      <c r="I466"/>
      <c r="J466"/>
      <c r="K466"/>
      <c r="L466" s="2" t="str">
        <f>=HYPERLINK("mailto:tiag@treibacher.com", "tiag@treibacher.comtreibacher@treibacher.com")</f>
        <v>tiag@treibacher.comtreibacher@treibacher.com</v>
      </c>
      <c r="M466" t="inlineStr">
        <is>
          <t>+4342625050</t>
        </is>
      </c>
      <c r="N466" s="3">
        <v>46044</v>
      </c>
      <c r="O466" t="inlineStr">
        <is>
          <t>已联系未回复</t>
        </is>
      </c>
      <c r="P466"/>
      <c r="Q466" t="inlineStr">
        <is>
          <t>上海铝业协会-德国奥地利匈牙利</t>
        </is>
      </c>
      <c r="R466"/>
      <c r="S466"/>
      <c r="T466"/>
    </row>
    <row r="467" ht="25.5" customHeight="1">
      <c r="A467" t="inlineStr">
        <is>
          <t>金属与技术施密特公司 / Metall &amp; Technik Schmidt GmbH</t>
        </is>
      </c>
      <c r="B467" t="inlineStr">
        <is>
          <t>奥地利</t>
        </is>
      </c>
      <c r="C467" t="inlineStr">
        <is>
          <t>莱奥本</t>
        </is>
      </c>
      <c r="D467" t="inlineStr">
        <is>
          <t>铝业公司</t>
        </is>
      </c>
      <c r="E467" t="inlineStr">
        <is>
          <t>铝业</t>
        </is>
      </c>
      <c r="F467" t="inlineStr">
        <is>
          <t>奥地利，莱奥本，布赫贝尔街14号，8700</t>
        </is>
      </c>
      <c r="G467" s="2" t="str">
        <f>=HYPERLINK("http://www.mut-schmidt.at/kontakt.html", "http://www.mut-schmidt.at/kontakt.html")</f>
        <v>http://www.mut-schmidt.at/kontakt.html</v>
      </c>
      <c r="H467" t="inlineStr">
        <is>
          <t>该公司专注于金属贸易与加工服务，提供不锈钢、铝及特种金属的切割、分条和库存管理。以其灵活的供应链服务和可靠的材质质量控制，满足客户多样化的金属需求。</t>
        </is>
      </c>
      <c r="I467"/>
      <c r="J467"/>
      <c r="K467"/>
      <c r="L467" s="2" t="str">
        <f>=HYPERLINK("mailto:office@mut-schmidt.at", "office@mut-schmidt.at")</f>
        <v>office@mut-schmidt.at</v>
      </c>
      <c r="M467" t="inlineStr">
        <is>
          <t>+438109554326</t>
        </is>
      </c>
      <c r="N467" s="3">
        <v>46044</v>
      </c>
      <c r="O467" t="inlineStr">
        <is>
          <t>已联系未回复</t>
        </is>
      </c>
      <c r="P467"/>
      <c r="Q467" t="inlineStr">
        <is>
          <t>上海铝业协会-德国奥地利匈牙利</t>
        </is>
      </c>
      <c r="R467"/>
      <c r="S467"/>
      <c r="T467"/>
    </row>
    <row r="468" ht="25.5" customHeight="1">
      <c r="A468" t="inlineStr">
        <is>
          <t>克·弗朗茨·哈梅尔公司 / KR Franz Hamerle</t>
        </is>
      </c>
      <c r="B468" t="inlineStr">
        <is>
          <t>奥地利</t>
        </is>
      </c>
      <c r="C468" t="inlineStr">
        <is>
          <t>维也纳</t>
        </is>
      </c>
      <c r="D468" t="inlineStr">
        <is>
          <t>铝业公司</t>
        </is>
      </c>
      <c r="E468" t="inlineStr">
        <is>
          <t>铝业</t>
        </is>
      </c>
      <c r="F468" t="inlineStr">
        <is>
          <t>奥地利，维也纳，七棵树街12a号/项目10号，1230</t>
        </is>
      </c>
      <c r="G468" s="2" t="str">
        <f>=HYPERLINK("https://www.hamerle.at/", "https://www.hamerle.at/")</f>
        <v>https://www.hamerle.at/</v>
      </c>
      <c r="H468" t="inlineStr">
        <is>
          <t>这家家族企业致力于铸造技术，生产高质量的铸铁和铸铝部件。公司服务于机械工程、汽车和泵阀行业，凭借多年的经验和先进的铸造工艺赢得市场信赖。</t>
        </is>
      </c>
      <c r="I468" t="inlineStr">
        <is>
          <t>Dr. DI Horst Pichlmüller</t>
        </is>
      </c>
      <c r="J468" t="inlineStr">
        <is>
          <t>董事长</t>
        </is>
      </c>
      <c r="K468"/>
      <c r="L468" s="2" t="str">
        <f>=HYPERLINK("mailto:pichlmueller@hamerle.at", "pichlmueller@hamerle.at")</f>
        <v>pichlmueller@hamerle.at</v>
      </c>
      <c r="M468" t="inlineStr">
        <is>
          <t>+4317136426</t>
        </is>
      </c>
      <c r="N468" s="3">
        <v>46044</v>
      </c>
      <c r="O468" t="inlineStr">
        <is>
          <t>已联系未回复</t>
        </is>
      </c>
      <c r="P468"/>
      <c r="Q468" t="inlineStr">
        <is>
          <t>上海铝业协会-德国奥地利匈牙利</t>
        </is>
      </c>
      <c r="R468"/>
      <c r="S468"/>
      <c r="T468"/>
    </row>
    <row r="469" ht="25.5" customHeight="1">
      <c r="A469" t="inlineStr">
        <is>
          <t>JJ金属技术公司 / JJ Metalltechnik GmbH</t>
        </is>
      </c>
      <c r="B469" t="inlineStr">
        <is>
          <t>奥地利</t>
        </is>
      </c>
      <c r="C469" t="inlineStr">
        <is>
          <t>维也纳</t>
        </is>
      </c>
      <c r="D469" t="inlineStr">
        <is>
          <t>铝业公司</t>
        </is>
      </c>
      <c r="E469" t="inlineStr">
        <is>
          <t>铝业</t>
        </is>
      </c>
      <c r="F469" t="inlineStr">
        <is>
          <t>奥地利，维也纳，哈德穆斯街45号，1100</t>
        </is>
      </c>
      <c r="G469" s="2" t="str">
        <f>=HYPERLINK("http://www.jj-metall.at/", "http://www.jj-metall.at/")</f>
        <v>http://www.jj-metall.at/</v>
      </c>
      <c r="H469" t="inlineStr">
        <is>
          <t>JJ金属技术公司是一家专注于金属件机加工和组件装配的中型企业。公司擅长不锈钢和铝材的精密加工，为食品工业、机械设备等领域提供定制化的金属部件解决方案。</t>
        </is>
      </c>
      <c r="I469"/>
      <c r="J469"/>
      <c r="K469"/>
      <c r="L469" s="2" t="str">
        <f>=HYPERLINK("mailto:javro@jj-metalltechnik.at", "javro@jj-metalltechnik.at")</f>
        <v>javro@jj-metalltechnik.at</v>
      </c>
      <c r="M469" t="inlineStr">
        <is>
          <t>+4369981778127</t>
        </is>
      </c>
      <c r="N469" s="3">
        <v>46044</v>
      </c>
      <c r="O469" t="inlineStr">
        <is>
          <t>已联系已回复</t>
        </is>
      </c>
      <c r="P469" t="inlineStr">
        <is>
          <t>可以接待，需要安排线上会议讨论详情</t>
        </is>
      </c>
      <c r="Q469" t="inlineStr">
        <is>
          <t>上海铝业协会-德国奥地利匈牙利</t>
        </is>
      </c>
      <c r="R469"/>
      <c r="S469" t="inlineStr">
        <is>
          <t>合作方向：
1. 高端制造技术考察与商务对接：组织中国地方政府（工信/科技部门）、国家级经开区、汽车/航空航天/精密仪器产业链龙头企业的因公出访团组，赴该公司进行技术观摩与商务洽谈，重点考察其在 “高精度金属零部件加工、特种焊接/涂层技术、工业自动化集成” 等方面的专长与解决方案。
2. 技术人员专项技能培训：针对中国合作企业的高级技工、工艺工程师，由该公司专家提供在 “精密数控编程与操作、质量检测与控制（如三维测量）、特定金属工艺（如激光加工、微连接技术）” 等领域的短期实践培训与认证。
3. 供应链合作与本土化生产：探讨将该公司的高价值、高技术门槛金属零部件纳入中国高端制造企业的供应链体系，或就在中国设立技术服务中心、合资生产线进行可行性研究。
4. 联合技术攻关与工艺优化：针对中方企业在产品升级中遇到的特定金属材料加工难题（如轻量化材料连接、耐腐蚀表面处理），开展联合技术开发或工艺优化项目。
5. 参与中德产业合作平台与展会：借助该公司作为德国“隐形冠军”类企业的代表性，邀请其参与在中国举办的中德高端制造论坛、行业展会，或组织德国细分领域企业团组访华。
合作领域：
核心领域：高精度金属切削与成形、模具制造、自动化装配系统、特种焊接与连接技术。
特色领域：航空航天/汽车领域特种零部件、医疗设备金属组件、工业传感器外壳等精密制造。
合作特点：合作聚焦于 “德国中小型企业（Mittelstand）的深度技术专长与精益制造实践” ，具有 “技术壁垒高、应用针对性强、工艺知识深厚” 的特点。此类合作不追求规模，而追求在特定技术点上的绝对优势与可靠性。</t>
        </is>
      </c>
      <c r="T469"/>
    </row>
    <row r="470" ht="25.5" customHeight="1">
      <c r="A470" t="inlineStr">
        <is>
          <t>奥地利AMAG铝业公司 / AMAG Austria Metall AG</t>
        </is>
      </c>
      <c r="B470" t="inlineStr">
        <is>
          <t>奥地利</t>
        </is>
      </c>
      <c r="C470" t="inlineStr">
        <is>
          <t>兰斯霍芬</t>
        </is>
      </c>
      <c r="D470" t="inlineStr">
        <is>
          <t>铝业公司</t>
        </is>
      </c>
      <c r="E470" t="inlineStr">
        <is>
          <t>铝业</t>
        </is>
      </c>
      <c r="F470" t="inlineStr">
        <is>
          <t>奥地利，兰斯霍芬，兰普雷赫特豪森街61号，5282</t>
        </is>
      </c>
      <c r="G470" s="2" t="str">
        <f>=HYPERLINK("https://www.amag-al4u.com/", "https://www.amag-al4u.com/")</f>
        <v>https://www.amag-al4u.com/</v>
      </c>
      <c r="H470" t="inlineStr">
        <is>
          <t>AMAG是奥地利最大的铝业集团，业务涵盖铝初级产品、轧制材和回收利用。公司以其高效的闭环回收系统和创新的铝材应用，在汽车、航空和包装行业占据重要地位。</t>
        </is>
      </c>
      <c r="I470"/>
      <c r="J470"/>
      <c r="K470"/>
      <c r="L470" s="2" t="str">
        <f>=HYPERLINK("https://www.amag-al4u.com/kontakt/anfrage", "https://www.amag-al4u.com/kontakt/anfrage")</f>
        <v>https://www.amag-al4u.com/kontakt/anfrage</v>
      </c>
      <c r="M470" t="inlineStr">
        <is>
          <t>+4377228010</t>
        </is>
      </c>
      <c r="N470" s="3">
        <v>46044</v>
      </c>
      <c r="O470" t="inlineStr">
        <is>
          <t>已联系未回复</t>
        </is>
      </c>
      <c r="P470"/>
      <c r="Q470" t="inlineStr">
        <is>
          <t>上海铝业协会-德国奥地利匈牙利</t>
        </is>
      </c>
      <c r="R470"/>
      <c r="S470"/>
      <c r="T470"/>
    </row>
    <row r="471" ht="25.5" customHeight="1">
      <c r="A471" t="inlineStr">
        <is>
          <t>萨尔茨堡铝业集团 - 总部 / SAG Salzburger Aluminium Group - Headquarter</t>
        </is>
      </c>
      <c r="B471" t="inlineStr">
        <is>
          <t>奥地利</t>
        </is>
      </c>
      <c r="C471" t="inlineStr">
        <is>
          <t>伦德</t>
        </is>
      </c>
      <c r="D471" t="inlineStr">
        <is>
          <t>铝业公司</t>
        </is>
      </c>
      <c r="E471" t="inlineStr">
        <is>
          <t>铝业</t>
        </is>
      </c>
      <c r="F471" t="inlineStr">
        <is>
          <t>奥地利，伦德，伦德街25号，5651</t>
        </is>
      </c>
      <c r="G471" s="2" t="str">
        <f>=HYPERLINK("http://www.sag.at/", "http://www.sag.at/")</f>
        <v>http://www.sag.at/</v>
      </c>
      <c r="H471" t="inlineStr">
        <is>
          <t>萨尔茨堡铝业集团专注于铝轧制产品的生产，特别是汽车散热器和热交换器用铝带。公司凭借先进的轧制技术和严格的品质管理，成为欧洲汽车行业重要的铝材供应商之一。</t>
        </is>
      </c>
      <c r="I471"/>
      <c r="J471"/>
      <c r="K471"/>
      <c r="L471" s="2" t="str">
        <f>=HYPERLINK("http://在线联系表格：https://sag.at/contact/", "在线联系表格：https://sag.at/contact/")</f>
        <v>在线联系表格：https://sag.at/contact/</v>
      </c>
      <c r="M471" t="inlineStr">
        <is>
          <t>+43641665000</t>
        </is>
      </c>
      <c r="N471" s="3">
        <v>46044</v>
      </c>
      <c r="O471" t="inlineStr">
        <is>
          <t>已联系未回复</t>
        </is>
      </c>
      <c r="P471"/>
      <c r="Q471" t="inlineStr">
        <is>
          <t>上海铝业协会-德国奥地利匈牙利</t>
        </is>
      </c>
      <c r="R471"/>
      <c r="S471"/>
      <c r="T471"/>
    </row>
    <row r="472" ht="25.5" customHeight="1">
      <c r="A472" t="inlineStr">
        <is>
          <t>匈牙利海德铝业挤压公司/ Hydro Extrusion Hungary Kft. (Budapest Office)</t>
        </is>
      </c>
      <c r="B472" t="inlineStr">
        <is>
          <t>匈牙利</t>
        </is>
      </c>
      <c r="C472" t="inlineStr">
        <is>
          <t>布达佩斯</t>
        </is>
      </c>
      <c r="D472" t="inlineStr">
        <is>
          <t>铝业公司</t>
        </is>
      </c>
      <c r="E472" t="inlineStr">
        <is>
          <t>铝业</t>
        </is>
      </c>
      <c r="F472" t="inlineStr">
        <is>
          <t>匈牙利布达佩斯，伊林伊·约瑟夫街 4-20 号，1117 邮政区</t>
        </is>
      </c>
      <c r="G472" s="2" t="str">
        <f>=HYPERLINK("http://www.hydroextrusions.com/", "http://www.hydroextrusions.com/")</f>
        <v>http://www.hydroextrusions.com/</v>
      </c>
      <c r="H472" t="inlineStr">
        <is>
          <t>匈牙利海德铝业挤压公司是海德鲁集团在匈牙利的重要分支机构，专注于铝挤压型材的生产与创新。公司利用先进的挤压技术和可持续的铝解决方案，为建筑、交通运输和工业领域提供高品质的铝型材产品。其布达佩斯办公室作为管理与技术中心，致力于服务本地及区域市场，是匈牙利铝加工行业的关键参与者之一。</t>
        </is>
      </c>
      <c r="I472"/>
      <c r="J472"/>
      <c r="K472"/>
      <c r="L472" s="2" t="str">
        <f>=HYPERLINK("mailto:gbs.hr.global@hydro.com", "gbs.hr.global@hydro.com")</f>
        <v>gbs.hr.global@hydro.com</v>
      </c>
      <c r="M472"/>
      <c r="N472" s="3">
        <v>46044</v>
      </c>
      <c r="O472" t="inlineStr">
        <is>
          <t>已联系未回复</t>
        </is>
      </c>
      <c r="P472"/>
      <c r="Q472" t="inlineStr">
        <is>
          <t>上海铝业协会-德国奥地利匈牙利</t>
        </is>
      </c>
      <c r="R472"/>
      <c r="S472"/>
      <c r="T472"/>
    </row>
    <row r="473" ht="25.5" customHeight="1">
      <c r="A473" t="inlineStr">
        <is>
          <t>阿尔巴卢有限公司/ Albalu Kft.</t>
        </is>
      </c>
      <c r="B473" t="inlineStr">
        <is>
          <t>匈牙利</t>
        </is>
      </c>
      <c r="C473" t="inlineStr">
        <is>
          <t>布达佩斯</t>
        </is>
      </c>
      <c r="D473" t="inlineStr">
        <is>
          <t>铝业公司</t>
        </is>
      </c>
      <c r="E473" t="inlineStr">
        <is>
          <t>铝业</t>
        </is>
      </c>
      <c r="F473" t="inlineStr">
        <is>
          <t>匈牙利萨尔森特米哈伊，谢切尼·齐格蒙德街 15 号，8141 邮政区</t>
        </is>
      </c>
      <c r="G473" s="2" t="str">
        <f>=HYPERLINK("http://www.albalu.hu/", "http://www.albalu.hu/")</f>
        <v>http://www.albalu.hu/</v>
      </c>
      <c r="H473" t="inlineStr">
        <is>
          <t>阿尔巴卢有限公司在匈牙利市场从事铝制品和金属产品的贸易与加工服务。公司业务涵盖各类铝材的销售、切割及定制化处理，以满足不同客户在建筑和制造业中的需求。其灵活的服务模式和客户导向的经营理念，使其在本地铝材供应领域建立了良好的声誉。</t>
        </is>
      </c>
      <c r="I473"/>
      <c r="J473"/>
      <c r="K473"/>
      <c r="L473" s="2" t="str">
        <f>=HYPERLINK("mailto:info@albalu.hu", "info@albalu.hu")</f>
        <v>info@albalu.hu</v>
      </c>
      <c r="M473" t="inlineStr">
        <is>
          <t>+36 (20) 591-1230</t>
        </is>
      </c>
      <c r="N473" s="3">
        <v>46044</v>
      </c>
      <c r="O473" t="inlineStr">
        <is>
          <t>已联系未回复</t>
        </is>
      </c>
      <c r="P473"/>
      <c r="Q473" t="inlineStr">
        <is>
          <t>上海铝业协会-德国奥地利匈牙利</t>
        </is>
      </c>
      <c r="R473"/>
      <c r="S473"/>
      <c r="T473"/>
    </row>
    <row r="474" ht="25.5" customHeight="1">
      <c r="A474" t="inlineStr">
        <is>
          <t>菲瓦-铝服务有限公司/ Feva-Aluszervíz Kft.</t>
        </is>
      </c>
      <c r="B474" t="inlineStr">
        <is>
          <t>匈牙利</t>
        </is>
      </c>
      <c r="C474" t="inlineStr">
        <is>
          <t>布达佩斯</t>
        </is>
      </c>
      <c r="D474" t="inlineStr">
        <is>
          <t>铝业公司</t>
        </is>
      </c>
      <c r="E474" t="inlineStr">
        <is>
          <t>铝业</t>
        </is>
      </c>
      <c r="F474" t="inlineStr">
        <is>
          <t>匈牙利布达佩斯，索罗克萨里路 117 号，1095 邮政区</t>
        </is>
      </c>
      <c r="G474" s="2" t="str">
        <f>=HYPERLINK("http://www.feva-alu.hu/", "http://www.feva-alu.hu/")</f>
        <v>http://www.feva-alu.hu/</v>
      </c>
      <c r="H474" t="inlineStr">
        <is>
          <t>菲瓦-铝服务有限公司专注于为铝加工行业提供专业的技术支持和综合服务。公司主要涉及铝材的表面处理、精加工及相关的技术服务，致力于提升铝制品的附加值和质量。凭借其专业的技术团队和响应迅速的服务体系，公司成为匈牙利本地企业可靠的铝材服务合作伙伴。</t>
        </is>
      </c>
      <c r="I474"/>
      <c r="J474"/>
      <c r="K474"/>
      <c r="L474" s="2" t="str">
        <f>=HYPERLINK("mailto:info@feva-aluszerviz.hu", "info@feva-aluszerviz.hu")</f>
        <v>info@feva-aluszerviz.hu</v>
      </c>
      <c r="M474" t="inlineStr">
        <is>
          <t>+36 70 872-5250</t>
        </is>
      </c>
      <c r="N474" s="3">
        <v>46044</v>
      </c>
      <c r="O474" t="inlineStr">
        <is>
          <t>已联系未回复</t>
        </is>
      </c>
      <c r="P474"/>
      <c r="Q474" t="inlineStr">
        <is>
          <t>上海铝业协会-德国奥地利匈牙利</t>
        </is>
      </c>
      <c r="R474"/>
      <c r="S474"/>
      <c r="T474"/>
    </row>
    <row r="475" ht="25.5" customHeight="1">
      <c r="A475" t="inlineStr">
        <is>
          <t>匈牙利铝生产商协会/HUNGAMOSZ Association of Hungarian Aluminium Producers</t>
        </is>
      </c>
      <c r="B475" t="inlineStr">
        <is>
          <t>匈牙利</t>
        </is>
      </c>
      <c r="C475" t="inlineStr">
        <is>
          <t>布达佩斯</t>
        </is>
      </c>
      <c r="D475" t="inlineStr">
        <is>
          <t>协会</t>
        </is>
      </c>
      <c r="E475" t="inlineStr">
        <is>
          <t>铝业</t>
        </is>
      </c>
      <c r="F475" t="inlineStr">
        <is>
          <t>匈牙利布达佩斯，瓦奇路 77 号，1133 邮政区</t>
        </is>
      </c>
      <c r="G475" s="2" t="str">
        <f>=HYPERLINK("http://www.hungamosz.hu", "www.hungamosz.hu")</f>
        <v>www.hungamosz.hu</v>
      </c>
      <c r="H475" t="inlineStr">
        <is>
          <t>匈牙利铝生产商协会是代表匈牙利铝加工和生产行业利益的全国性行业组织。协会致力于促进会员企业间的合作，推广铝材料的应用，并参与行业标准的制定与政策倡导。通过组织行业交流、提供市场信息和技术支持，协会在推动匈牙利铝工业的可持续发展和竞争力提升方面扮演着核心角色。</t>
        </is>
      </c>
      <c r="I475" t="inlineStr">
        <is>
          <t>Dr. Árpád Bakonyi</t>
        </is>
      </c>
      <c r="J475" t="inlineStr">
        <is>
          <t>秘书长</t>
        </is>
      </c>
      <c r="K475"/>
      <c r="L475" s="2" t="str">
        <f>=HYPERLINK("mailto:bakonyi@hungamosz.hu", "bakonyi@hungamosz.hu")</f>
        <v>bakonyi@hungamosz.hu</v>
      </c>
      <c r="M475" t="inlineStr">
        <is>
          <t>00-36-1-212-0027/28</t>
        </is>
      </c>
      <c r="N475" s="3">
        <v>46044</v>
      </c>
      <c r="O475" t="inlineStr">
        <is>
          <t>已联系未回复</t>
        </is>
      </c>
      <c r="P475"/>
      <c r="Q475" t="inlineStr">
        <is>
          <t>上海铝业协会-德国奥地利匈牙利</t>
        </is>
      </c>
      <c r="R475"/>
      <c r="S475"/>
      <c r="T475"/>
    </row>
    <row r="476" ht="25.5" customHeight="1">
      <c r="A476" t="inlineStr">
        <is>
          <t>MAL 匈牙利铝业生产贸易有限公司/MAL Hungarian Aluminium Production and Trade Company</t>
        </is>
      </c>
      <c r="B476" t="inlineStr">
        <is>
          <t>匈牙利</t>
        </is>
      </c>
      <c r="C476" t="inlineStr">
        <is>
          <t>维谢格拉德</t>
        </is>
      </c>
      <c r="D476" t="inlineStr">
        <is>
          <t>铝业公司</t>
        </is>
      </c>
      <c r="E476" t="inlineStr">
        <is>
          <t>铝业</t>
        </is>
      </c>
      <c r="F476" t="inlineStr">
        <is>
          <t>匈牙利 Ajka，工厂区，地号：598。
匈牙利布达佩斯，Logodi街34/b号，III层。</t>
        </is>
      </c>
      <c r="G476" s="2" t="str">
        <f>=HYPERLINK("https://web.archive.org/web/20101009132624/http://english.mal.hu/Engine.aspx", "https://web.archive.org/web/20101009132624/http://english.mal.hu/Engine.aspx")</f>
        <v>https://web.archive.org/web/20101009132624/http://english.mal.hu/Engine.aspx</v>
      </c>
      <c r="H476" t="inlineStr">
        <is>
          <t>MAL 匈牙利铝业生产贸易有限公司是一家集铝产品生产与贸易于一体的综合性企业。公司业务范围涵盖从铝原材料贸易到铝制品生产加工等多个环节，为工业及建筑领域提供多样化的铝产品解决方案。作为匈牙利铝业市场的重要一员，该公司以稳定的产品质量和全面的服务支持赢得了市场的认可。</t>
        </is>
      </c>
      <c r="I476"/>
      <c r="J476"/>
      <c r="K476"/>
      <c r="L476" s="2" t="str">
        <f>=HYPERLINK("mailto:mal@mal.hu", "mal@mal.hu")</f>
        <v>mal@mal.hu</v>
      </c>
      <c r="M476" t="inlineStr">
        <is>
          <t>+36-88-522-400</t>
        </is>
      </c>
      <c r="N476" s="3">
        <v>46044</v>
      </c>
      <c r="O476" t="inlineStr">
        <is>
          <t>已联系未回复</t>
        </is>
      </c>
      <c r="P476"/>
      <c r="Q476" t="inlineStr">
        <is>
          <t>上海铝业协会-德国奥地利匈牙利</t>
        </is>
      </c>
      <c r="R476"/>
      <c r="S476"/>
      <c r="T476"/>
    </row>
    <row r="477" ht="25.5" customHeight="1">
      <c r="A477" t="inlineStr">
        <is>
          <t>匈牙利铝业公司/Alcoa Magyarországon</t>
        </is>
      </c>
      <c r="B477" t="inlineStr">
        <is>
          <t>匈牙利</t>
        </is>
      </c>
      <c r="C477" t="inlineStr">
        <is>
          <t>塞克什费赫尔瓦</t>
        </is>
      </c>
      <c r="D477" t="inlineStr">
        <is>
          <t>铝业公司</t>
        </is>
      </c>
      <c r="E477" t="inlineStr">
        <is>
          <t>铝业</t>
        </is>
      </c>
      <c r="F477" t="inlineStr">
        <is>
          <t>匈牙利，塞克什白堡，Verseci街1-15号，邮政编码8000。</t>
        </is>
      </c>
      <c r="G477" s="2" t="str">
        <f>=HYPERLINK("https://www.alcoa.com/hungary/hu", "https://www.alcoa.com/hungary/hu")</f>
        <v>https://www.alcoa.com/hungary/hu</v>
      </c>
      <c r="H477" t="inlineStr">
        <is>
          <t>匈牙利铝业公司（Alcoa Magyarországon）隶属于全球领先的铝业公司——阿科阿（Alcoa），公司专注于铝的生产、加工和相关技术的创新。该公司位于匈牙利的塞克什费赫尔瓦（Székesfehérvár），其工厂和设施承担着铝产品的制造与供应，涵盖了从铝冶炼到铝制品的加工过程。
作为阿科阿公司在匈牙利的重要分支，Alcoa Magyarországon致力于高效、环保的铝生产工艺，产品广泛应用于汽车、建筑、包装以及航空航天等多个行业。公司不仅满足匈牙利国内市场的需求，还将高质量的铝产品出口到欧洲及全球多个国家。
通过不断投资于技术革新和可持续发展，Alcoa Magyarországon推动了匈牙利铝工业的现代化，并致力于减少生产过程中的碳排放和环境足迹，为全球铝业的绿色转型做出了积极贡献。
主要优势：
强大的全球网络：作为全球铝业巨头阿科阿的分支，拥有广泛的技术支持和资源共享。
环保创新：公司秉持环保理念，积极探索铝生产过程中的绿色技术。
行业领先：产品涵盖多个领域，满足高标准要求，服务于全球客户。
Alcoa Magyarországon的使命是继续推动铝业的技术创新和可持续发展，为全球市场提供优质的铝产品，同时促进匈牙利经济和行业的长期增长。</t>
        </is>
      </c>
      <c r="I477"/>
      <c r="J477"/>
      <c r="K477"/>
      <c r="L477" s="2" t="str">
        <f>=HYPERLINK("http://联系表格：https://www.alcoa.com/hungary/hu/contact", "联系表格：https://www.alcoa.com/hungary/hu/contact")</f>
        <v>联系表格：https://www.alcoa.com/hungary/hu/contact</v>
      </c>
      <c r="M477" t="inlineStr">
        <is>
          <t>+36309014086</t>
        </is>
      </c>
      <c r="N477" s="3">
        <v>46044</v>
      </c>
      <c r="O477" t="inlineStr">
        <is>
          <t>拒绝</t>
        </is>
      </c>
      <c r="P477" t="inlineStr">
        <is>
          <t>总部工厂都在美国，星压力只有办事处，事宜没有办法进行接待以及就感兴趣的领域进行讨论</t>
        </is>
      </c>
      <c r="Q477" t="inlineStr">
        <is>
          <t>上海铝业协会-德国奥地利匈牙利</t>
        </is>
      </c>
      <c r="R477"/>
      <c r="S477"/>
      <c r="T477"/>
    </row>
    <row r="478" ht="25.5" customHeight="1">
      <c r="A478" t="inlineStr">
        <is>
          <t>杜伊斯堡/Duisburg</t>
        </is>
      </c>
      <c r="B478" t="inlineStr">
        <is>
          <t>德国</t>
        </is>
      </c>
      <c r="C478" t="inlineStr">
        <is>
          <t>杜伊斯堡</t>
        </is>
      </c>
      <c r="D478" t="inlineStr">
        <is>
          <t>政府</t>
        </is>
      </c>
      <c r="E478" t="inlineStr">
        <is>
          <t>政府</t>
        </is>
      </c>
      <c r="F478" t="inlineStr">
        <is>
          <t>城堡广场 19 号
邮编：47051
杜伊斯堡
德国</t>
        </is>
      </c>
      <c r="G478" s="2" t="str">
        <f>=HYPERLINK("https://www.duisburg.de/", "https://www.duisburg.de/")</f>
        <v>https://www.duisburg.de/</v>
      </c>
      <c r="H478" t="inlineStr">
        <is>
          <t>这里是世界上最大的内陆港，是欧洲物流网络的心脏级枢纽。政府的核心优势在于构建了以港口为核心、铁路动脉直达、智能化仓储与高效海关服务一体化的现代多式联运物流体系，为欧洲乃至全球供应链提供无与伦比的连接效率和分拨能力。</t>
        </is>
      </c>
      <c r="I478" t="inlineStr">
        <is>
          <t>Mr. Dominik Bartz</t>
        </is>
      </c>
      <c r="J478" t="inlineStr">
        <is>
          <t>国际化中心经理</t>
        </is>
      </c>
      <c r="K478"/>
      <c r="L478" s="2" t="str">
        <f>=HYPERLINK("http://bartz@duisburg.business", "bartz@duisburg.business")</f>
        <v>bartz@duisburg.business</v>
      </c>
      <c r="M478" t="inlineStr">
        <is>
          <t>+49 203 36 39 367</t>
        </is>
      </c>
      <c r="N478" s="3">
        <v>46048</v>
      </c>
      <c r="O478" t="inlineStr">
        <is>
          <t>已联系未回复</t>
        </is>
      </c>
      <c r="P478"/>
      <c r="Q478" t="inlineStr">
        <is>
          <t>昆山友好城市-德国-鲁尔工业园区附近</t>
        </is>
      </c>
      <c r="R478"/>
      <c r="S478"/>
      <c r="T478"/>
    </row>
    <row r="479" ht="25.5" customHeight="1">
      <c r="A479" t="inlineStr">
        <is>
          <t>埃森/Essen</t>
        </is>
      </c>
      <c r="B479" t="inlineStr">
        <is>
          <t>德国</t>
        </is>
      </c>
      <c r="C479" t="inlineStr">
        <is>
          <t>埃森</t>
        </is>
      </c>
      <c r="D479" t="inlineStr">
        <is>
          <t>政府</t>
        </is>
      </c>
      <c r="E479" t="inlineStr">
        <is>
          <t>政府</t>
        </is>
      </c>
      <c r="F479" t="inlineStr">
        <is>
          <t>保时捷广场 1 号
邮编：45127
埃森
德国</t>
        </is>
      </c>
      <c r="G479" s="2" t="str">
        <f>=HYPERLINK("https://www.essen.de/aktuell.de.html", "https://www.essen.de/aktuell.de.html")</f>
        <v>https://www.essen.de/aktuell.de.html</v>
      </c>
      <c r="H479" t="inlineStr">
        <is>
          <t>作为鲁尔区转型标杆，其政府正将城市塑造为欧洲领先的能源技术与高端工业服务双中心。核心优势集中在两大领域：一是以蒂森克虏伯总部为基础的特种材料、重型机械与工业解决方案；二是从矿业遗产中崛起的可再生能源、高效发电与绿色循环技术产业集群。</t>
        </is>
      </c>
      <c r="I479" t="inlineStr">
        <is>
          <t>Ms.Ina Pakulla</t>
        </is>
      </c>
      <c r="J479" t="inlineStr">
        <is>
          <t>市长私人顾问</t>
        </is>
      </c>
      <c r="K479"/>
      <c r="L479" s="2" t="str">
        <f>=HYPERLINK("mailto:Ina.Pakulla@essen.de", "Ina.Pakulla@essen.de")</f>
        <v>Ina.Pakulla@essen.de</v>
      </c>
      <c r="M479" t="inlineStr">
        <is>
          <t>+49 201 88-88007</t>
        </is>
      </c>
      <c r="N479" s="3">
        <v>46048</v>
      </c>
      <c r="O479" t="inlineStr">
        <is>
          <t>拒绝</t>
        </is>
      </c>
      <c r="P479" t="inlineStr">
        <is>
          <t>表示我们的问询转交给埃森经济促进有限公司，对方会和我们联系</t>
        </is>
      </c>
      <c r="Q479" t="inlineStr">
        <is>
          <t>昆山友好城市-德国-鲁尔工业园区附近</t>
        </is>
      </c>
      <c r="R479"/>
      <c r="S479"/>
      <c r="T479"/>
    </row>
    <row r="480" ht="25.5" customHeight="1">
      <c r="A480" t="inlineStr">
        <is>
          <t>盖尔森基兴/Gelsenkirchen</t>
        </is>
      </c>
      <c r="B480" t="inlineStr">
        <is>
          <t>德国</t>
        </is>
      </c>
      <c r="C480" t="inlineStr">
        <is>
          <t>盖尔森基兴</t>
        </is>
      </c>
      <c r="D480" t="inlineStr">
        <is>
          <t>政府</t>
        </is>
      </c>
      <c r="E480" t="inlineStr">
        <is>
          <t>政府</t>
        </is>
      </c>
      <c r="F480" t="inlineStr">
        <is>
          <t>德国，吉尔森基兴市，
Ebertstraße 11，
45879 吉尔森基兴</t>
        </is>
      </c>
      <c r="G480" s="2" t="str">
        <f>=HYPERLINK("https://www.gelsenkirchen.de/de/default.aspx", "https://www.gelsenkirchen.de/de/default.aspx")</f>
        <v>https://www.gelsenkirchen.de/de/default.aspx</v>
      </c>
      <c r="H480" t="inlineStr">
        <is>
          <t>盖尔森基兴是德国北莱茵-威斯特法伦州的一个重要城市，因其在能源转型、绿色科技和工业创新领域的突出表现而闻名。特别是在可再生能源、智能电网以及能源存储技术的研发和应用方面，盖尔森基兴走在德国前沿，吸引了众多创新型企业和科研机构。此外，城市在数字化转型和智能制造等领域也有显著优势，成为推动工业4.0和未来科技发展的重要基地。</t>
        </is>
      </c>
      <c r="I480" t="inlineStr">
        <is>
          <t>Jessie Westphal</t>
        </is>
      </c>
      <c r="J480" t="inlineStr">
        <is>
          <t>友好城市联系人</t>
        </is>
      </c>
      <c r="K480"/>
      <c r="L480" s="2" t="str">
        <f>=HYPERLINK("mailto:jessie.westphal@gelsenkirchen.de", "jessie.westphal@gelsenkirchen.de")</f>
        <v>jessie.westphal@gelsenkirchen.de</v>
      </c>
      <c r="M480" t="inlineStr">
        <is>
          <t>+49 (209) 169-3030</t>
        </is>
      </c>
      <c r="N480" s="3">
        <v>46048</v>
      </c>
      <c r="O480" t="inlineStr">
        <is>
          <t>已联系未回复</t>
        </is>
      </c>
      <c r="P480"/>
      <c r="Q480" t="inlineStr">
        <is>
          <t>昆山友好城市-德国-鲁尔工业园区附近</t>
        </is>
      </c>
      <c r="R480"/>
      <c r="S480"/>
      <c r="T480"/>
    </row>
    <row r="481" ht="25.5" customHeight="1">
      <c r="A481" t="inlineStr">
        <is>
          <t>多特蒙德/Dortmund</t>
        </is>
      </c>
      <c r="B481" t="inlineStr">
        <is>
          <t>德国</t>
        </is>
      </c>
      <c r="C481" t="inlineStr">
        <is>
          <t>多特蒙德</t>
        </is>
      </c>
      <c r="D481" t="inlineStr">
        <is>
          <t>政府</t>
        </is>
      </c>
      <c r="E481" t="inlineStr">
        <is>
          <t>政府</t>
        </is>
      </c>
      <c r="F481" t="inlineStr">
        <is>
          <t>弗里登斯广场 1 号
邮编：44135
多特蒙德
德国</t>
        </is>
      </c>
      <c r="G481" s="2" t="str">
        <f>=HYPERLINK("https://www.dortmund.de/", "https://www.dortmund.de/")</f>
        <v>https://www.dortmund.de/</v>
      </c>
      <c r="H481" t="inlineStr">
        <is>
          <t>政府正全力推动城市成为德国北威州的“数字产业与物流技术”创新中心。领先领域非常明确：一是围绕IT安全、数据分析企业集群的信息技术与人工智能应用；二是依托顶尖研究机构及高科技企业（如欧洲最大晶圆厂之一）的微系统技术与半导体材料。</t>
        </is>
      </c>
      <c r="I481" t="inlineStr">
        <is>
          <t>Mr. Herr van der Pütten</t>
        </is>
      </c>
      <c r="J481" t="inlineStr">
        <is>
          <t>国际关系主管</t>
        </is>
      </c>
      <c r="K481"/>
      <c r="L481" s="2" t="str">
        <f>=HYPERLINK("mailto:international@stadtdo.de", "international@stadtdo.de")</f>
        <v>international@stadtdo.de</v>
      </c>
      <c r="M481" t="inlineStr">
        <is>
          <t>+49 231 50-25784</t>
        </is>
      </c>
      <c r="N481" s="3">
        <v>46048</v>
      </c>
      <c r="O481" t="inlineStr">
        <is>
          <t>已联系未回复</t>
        </is>
      </c>
      <c r="P481"/>
      <c r="Q481" t="inlineStr">
        <is>
          <t>昆山友好城市-德国-鲁尔工业园区附近</t>
        </is>
      </c>
      <c r="R481"/>
      <c r="S481"/>
      <c r="T481"/>
    </row>
    <row r="482" ht="25.5" customHeight="1">
      <c r="A482" t="inlineStr">
        <is>
          <t>波鸿/Bochum</t>
        </is>
      </c>
      <c r="B482" t="inlineStr">
        <is>
          <t>德国</t>
        </is>
      </c>
      <c r="C482" t="inlineStr">
        <is>
          <t>波鸿</t>
        </is>
      </c>
      <c r="D482" t="inlineStr">
        <is>
          <t>政府</t>
        </is>
      </c>
      <c r="E482" t="inlineStr">
        <is>
          <t>政府</t>
        </is>
      </c>
      <c r="F482" t="inlineStr">
        <is>
          <t>市政厅广场 1 号
邮编：44777
波鸿
德国</t>
        </is>
      </c>
      <c r="G482" s="2" t="str">
        <f>=HYPERLINK("https://www.bochum.de/Startseite", "https://www.bochum.de/Startseite")</f>
        <v>https://www.bochum.de/Startseite</v>
      </c>
      <c r="H482" t="inlineStr">
        <is>
          <t>这里是德国汽车供应链与自动化技术的关键研发基地。政府依托鲁尔大学等科研力量，专注于汽车电子、电动动力总成测试技术及工业自动化解决方案的研发与转化，并拥有从金属加工到精密制造的成熟零部件产业基础。</t>
        </is>
      </c>
      <c r="I482" t="inlineStr">
        <is>
          <t>Ms. Lisa Methling</t>
        </is>
      </c>
      <c r="J482" t="inlineStr">
        <is>
          <t>欧洲与国际事务负责人</t>
        </is>
      </c>
      <c r="K482"/>
      <c r="L482" s="2" t="str">
        <f>=HYPERLINK("mailto:internationales@bochum.de", "internationales@bochum.de")</f>
        <v>internationales@bochum.de</v>
      </c>
      <c r="M482" t="inlineStr">
        <is>
          <t>+49 234 61063-100</t>
        </is>
      </c>
      <c r="N482" s="3">
        <v>46048</v>
      </c>
      <c r="O482" t="inlineStr">
        <is>
          <t>拒绝</t>
        </is>
      </c>
      <c r="P482" t="inlineStr">
        <is>
          <t>表示现阶段只维护现有合作，不会拓展新的</t>
        </is>
      </c>
      <c r="Q482" t="inlineStr">
        <is>
          <t>昆山友好城市-德国-鲁尔工业园区附近</t>
        </is>
      </c>
      <c r="R482"/>
      <c r="S482"/>
      <c r="T482"/>
    </row>
    <row r="483" ht="25.5" customHeight="1">
      <c r="A483" t="inlineStr">
        <is>
          <t>杜塞尔多夫市/Düsseldorf</t>
        </is>
      </c>
      <c r="B483" t="inlineStr">
        <is>
          <t>德国</t>
        </is>
      </c>
      <c r="C483" t="inlineStr">
        <is>
          <t>杜塞尔多夫</t>
        </is>
      </c>
      <c r="D483" t="inlineStr">
        <is>
          <t>政府</t>
        </is>
      </c>
      <c r="E483" t="inlineStr">
        <is>
          <t>政府</t>
        </is>
      </c>
      <c r="F483" t="inlineStr">
        <is>
          <t>集市广场 1号
邮编：40213
杜塞尔多夫
北莱茵-威斯特法伦州
德国</t>
        </is>
      </c>
      <c r="G483" s="2" t="str">
        <f>=HYPERLINK("https://www.duesseldorf.de/", "https://www.duesseldorf.de/")</f>
        <v>https://www.duesseldorf.de/</v>
      </c>
      <c r="H483" t="inlineStr">
        <is>
          <t>政府着力打造莱茵河畔的“总部经济与高端服务业”中心。其领先地位不仅体现在吸引众多全球公司设立总部，更在于围绕这些总部形成的顶尖工业设计、品牌管理、商业咨询及为“工业4.0”赋能的软件与IT服务产业集群。</t>
        </is>
      </c>
      <c r="I483" t="inlineStr">
        <is>
          <t>Ms. Theresa Reymann</t>
        </is>
      </c>
      <c r="J483" t="inlineStr">
        <is>
          <t>高级项目经理</t>
        </is>
      </c>
      <c r="K483"/>
      <c r="L483" s="2" t="str">
        <f>=HYPERLINK("mailto:Theresa.Reymann@duesseldorf.de", "Theresa.Reymann@duesseldorf.de")</f>
        <v>Theresa.Reymann@duesseldorf.de</v>
      </c>
      <c r="M483" t="inlineStr">
        <is>
          <t>+49 211 89 27503</t>
        </is>
      </c>
      <c r="N483" s="3">
        <v>46048</v>
      </c>
      <c r="O483" t="inlineStr">
        <is>
          <t>拒绝</t>
        </is>
      </c>
      <c r="P483" t="inlineStr">
        <is>
          <t>表示现有中国合作已经有很多了，没有能力开展新的合作了</t>
        </is>
      </c>
      <c r="Q483" t="inlineStr">
        <is>
          <t>昆山友好城市-德国-鲁尔工业园区附近</t>
        </is>
      </c>
      <c r="R483"/>
      <c r="S483"/>
      <c r="T483"/>
    </row>
    <row r="484" ht="25.5" customHeight="1">
      <c r="A484" t="inlineStr">
        <is>
          <t>斯图加特/Stuttgart</t>
        </is>
      </c>
      <c r="B484" t="inlineStr">
        <is>
          <t>德国</t>
        </is>
      </c>
      <c r="C484" t="inlineStr">
        <is>
          <t>斯图加特</t>
        </is>
      </c>
      <c r="D484" t="inlineStr">
        <is>
          <t>政府</t>
        </is>
      </c>
      <c r="E484" t="inlineStr">
        <is>
          <t>政府</t>
        </is>
      </c>
      <c r="F484" t="inlineStr">
        <is>
          <t>市场广场 1号
邮编：70173
斯图加特
巴登-符腾堡州
德国</t>
        </is>
      </c>
      <c r="G484" s="2" t="str">
        <f>=HYPERLINK("https://www.stuttgart.de/en/?form=translationDisclaimer-NDU4ODU5Mjcy&amp;action=submit#translationDisclaimer-NDU4ODU5Mjcy", "https://www.stuttgart.de/en/?form=translationDisclaimer-NDU4ODU5Mjcy&amp;action=submit#translationDisclaimer-NDU4ODU5Mjcy")</f>
        <v>https://www.stuttgart.de/en/?form=translationDisclaimer-NDU4ODU5Mjcy&amp;action=submit#translationDisclaimer-NDU4ODU5Mjcy</v>
      </c>
      <c r="H484" t="inlineStr">
        <is>
          <t>这里是全球汽车工业与精密工程的巅峰之地。政府的核心优势在于培育了以戴姆勒（奔驰）、保时捷为双核，众多全球顶级供应商为支撑的完整高端汽车产业链，并在高性能发动机研发、车身轻量化与自动驾驶系统领域持续保持世界领先。</t>
        </is>
      </c>
      <c r="I484" t="inlineStr">
        <is>
          <t>Dr. Melis Schmid</t>
        </is>
      </c>
      <c r="J484" t="inlineStr">
        <is>
          <t>国际关系副主任</t>
        </is>
      </c>
      <c r="K484"/>
      <c r="L484" s="2" t="str">
        <f>=HYPERLINK("mailto:Melis.Schmid@stuttgart.de", "Melis.Schmid@stuttgart.de")</f>
        <v>Melis.Schmid@stuttgart.de</v>
      </c>
      <c r="M484" t="inlineStr">
        <is>
          <t>+49 711 21660742</t>
        </is>
      </c>
      <c r="N484" s="3">
        <v>46048</v>
      </c>
      <c r="O484" t="inlineStr">
        <is>
          <t>拒绝</t>
        </is>
      </c>
      <c r="P484" t="inlineStr">
        <is>
          <t>表示和南京有30年的合作，没有精力开展其他类似的合作</t>
        </is>
      </c>
      <c r="Q484" t="inlineStr">
        <is>
          <t>昆山友好城市-德国-鲁尔工业园区附近</t>
        </is>
      </c>
      <c r="R484"/>
      <c r="S484"/>
      <c r="T484"/>
    </row>
    <row r="485" ht="25.5" customHeight="1">
      <c r="A485" t="inlineStr">
        <is>
          <t>慕尼黑/Munich</t>
        </is>
      </c>
      <c r="B485" t="inlineStr">
        <is>
          <t>德国</t>
        </is>
      </c>
      <c r="C485" t="inlineStr">
        <is>
          <t>慕尼黑</t>
        </is>
      </c>
      <c r="D485" t="inlineStr">
        <is>
          <t>政府</t>
        </is>
      </c>
      <c r="E485" t="inlineStr">
        <is>
          <t>政府</t>
        </is>
      </c>
      <c r="F485" t="inlineStr">
        <is>
          <t>玛丽恩广场 8号
邮编：80331
慕尼黑
巴伐利亚州
德国</t>
        </is>
      </c>
      <c r="G485" s="2" t="str">
        <f>=HYPERLINK("https://www.muenchen.de/", "https://www.muenchen.de/")</f>
        <v>https://www.muenchen.de/</v>
      </c>
      <c r="H485" t="inlineStr">
        <is>
          <t>政府成功构建了“高端汽车制造、尖端科技与前沿研发”深度融合的生态系统。这里是宝马集团总部所在地，同时拥有德国最强的ICT（信息与通信技术）产业基础，领先领域在于将人工智能、软件算法与传感器技术系统性应用于智能网联汽车和未来出行解决方案的研发。</t>
        </is>
      </c>
      <c r="I485"/>
      <c r="J485"/>
      <c r="K485"/>
      <c r="L485" s="2" t="str">
        <f>=HYPERLINK("mailto:international.visits@muenchen.de", "international.visits@muenchen.deeurope-direct@muenchen.de")</f>
        <v>international.visits@muenchen.deeurope-direct@muenchen.de</v>
      </c>
      <c r="M485" t="inlineStr">
        <is>
          <t>+498923392527</t>
        </is>
      </c>
      <c r="N485" s="3">
        <v>46048</v>
      </c>
      <c r="O485" t="inlineStr">
        <is>
          <t>已联系已回复</t>
        </is>
      </c>
      <c r="P485" t="inlineStr">
        <is>
          <t>需要填写带有可回具体信息的代表团访问在线表格后再考量-回复要了解更多关于代表团的信息并在后期转给相关部门，现根据铝业信息沟通，需要视对方是否能安排这方面的内容而决定最后的结果</t>
        </is>
      </c>
      <c r="Q485" t="inlineStr">
        <is>
          <t>昆山友好城市-德国-鲁尔工业园区附近</t>
        </is>
      </c>
      <c r="R485"/>
      <c r="S485"/>
      <c r="T485"/>
    </row>
    <row r="486" ht="25.5" customHeight="1">
      <c r="A486" t="inlineStr">
        <is>
          <t>沃尔夫斯堡/Wolfsburg</t>
        </is>
      </c>
      <c r="B486" t="inlineStr">
        <is>
          <t>德国</t>
        </is>
      </c>
      <c r="C486" t="inlineStr">
        <is>
          <t>沃尔夫斯堡</t>
        </is>
      </c>
      <c r="D486" t="inlineStr">
        <is>
          <t>政府</t>
        </is>
      </c>
      <c r="E486" t="inlineStr">
        <is>
          <t>政府</t>
        </is>
      </c>
      <c r="F486" t="inlineStr">
        <is>
          <t>市中心 1号
邮编：38440
沃尔夫斯堡
下萨克森州
德国</t>
        </is>
      </c>
      <c r="G486" s="2" t="str">
        <f>=HYPERLINK("https://www.wolfsburg.de/en-us/", "https://www.wolfsburg.de/en-us/")</f>
        <v>https://www.wolfsburg.de/en-us/</v>
      </c>
      <c r="H486" t="inlineStr">
        <is>
          <t>这里是德国乃至全球汽车大规模产业化与转型的标杆城市。作为大众汽车集团全球总部与核心生产基地，政府主导的优势在于超大规模的整车智能制造、全产业链整合能力，并正全力推动城市向模块化电动平台、电池系统及数字化生产的未来汽车中心全面转型。</t>
        </is>
      </c>
      <c r="I486" t="inlineStr">
        <is>
          <t>Annami Olvermann</t>
        </is>
      </c>
      <c r="J486" t="inlineStr">
        <is>
          <t>代表处及国际关系</t>
        </is>
      </c>
      <c r="K486"/>
      <c r="L486" s="2" t="str">
        <f>=HYPERLINK("mailto:annami.olvermann@stadt.wolfsburg.de", "annami.olvermann@stadt.wolfsburg.de")</f>
        <v>annami.olvermann@stadt.wolfsburg.de</v>
      </c>
      <c r="M486" t="inlineStr">
        <is>
          <t>+49 5361 28-2958</t>
        </is>
      </c>
      <c r="N486" s="3">
        <v>46048</v>
      </c>
      <c r="O486" t="inlineStr">
        <is>
          <t>拒绝</t>
        </is>
      </c>
      <c r="P486" t="inlineStr">
        <is>
          <t>表示考虑到与中国其他友好城市的合作，目前无法提供任何新的合作前景。</t>
        </is>
      </c>
      <c r="Q486" t="inlineStr">
        <is>
          <t>昆山友好城市-德国-鲁尔工业园区附近</t>
        </is>
      </c>
      <c r="R486"/>
      <c r="S486"/>
      <c r="T486"/>
    </row>
    <row r="487" ht="25.5" customHeight="1">
      <c r="A487" t="inlineStr">
        <is>
          <t>汉诺威/Hanover</t>
        </is>
      </c>
      <c r="B487" t="inlineStr">
        <is>
          <t>德国</t>
        </is>
      </c>
      <c r="C487" t="inlineStr">
        <is>
          <t>汉诺威</t>
        </is>
      </c>
      <c r="D487" t="inlineStr">
        <is>
          <t>政府</t>
        </is>
      </c>
      <c r="E487" t="inlineStr">
        <is>
          <t>政府</t>
        </is>
      </c>
      <c r="F487" t="inlineStr">
        <is>
          <t>特拉姆广场 2号
邮编：30159
汉诺威
下萨克森州
德国</t>
        </is>
      </c>
      <c r="G487" s="2" t="str">
        <f>=HYPERLINK("https://www.hanovernh.org/", "https://www.hanovernh.org/")</f>
        <v>https://www.hanovernh.org/</v>
      </c>
      <c r="H487" t="inlineStr">
        <is>
          <t>政府将城市定位为全球工业技术的“贸易、展示与创新中枢”。其独一无二的优势在于主办世界顶级的汉诺威工业博览会，并以此为核心，汇聚了全球领先的机械工程、工业自动化及商用车辆（卡车、巴士）制造技术，是连接工业供需、驱动技术贸易的核心平台。</t>
        </is>
      </c>
      <c r="I487"/>
      <c r="J487"/>
      <c r="K487"/>
      <c r="L487" s="2"/>
      <c r="M487"/>
      <c r="N487" s="3">
        <v>46048</v>
      </c>
      <c r="O487" t="inlineStr">
        <is>
          <t>拒绝</t>
        </is>
      </c>
      <c r="P487" t="inlineStr">
        <is>
          <t>表示只维护现有合作关系，不考虑拓展其他合作机会</t>
        </is>
      </c>
      <c r="Q487" t="inlineStr">
        <is>
          <t>昆山友好城市-德国-鲁尔工业园区附近</t>
        </is>
      </c>
      <c r="R487"/>
      <c r="S487"/>
      <c r="T487"/>
    </row>
    <row r="488" ht="25.5" customHeight="1">
      <c r="A488" t="inlineStr">
        <is>
          <t>曼海姆/Mannheim</t>
        </is>
      </c>
      <c r="B488" t="inlineStr">
        <is>
          <t>德国</t>
        </is>
      </c>
      <c r="C488" t="inlineStr">
        <is>
          <t>曼海姆</t>
        </is>
      </c>
      <c r="D488" t="inlineStr">
        <is>
          <t>政府</t>
        </is>
      </c>
      <c r="E488" t="inlineStr">
        <is>
          <t>政府</t>
        </is>
      </c>
      <c r="F488" t="inlineStr">
        <is>
          <t>市场广场 1号
邮编：68161
曼海姆
巴登-符腾堡州
德国</t>
        </is>
      </c>
      <c r="G488" s="2" t="str">
        <f>=HYPERLINK("https://www.mannheim.de/de", "https://www.mannheim.de/de")</f>
        <v>https://www.mannheim.de/de</v>
      </c>
      <c r="H488" t="inlineStr">
        <is>
          <t>这里是德国重要的综合性工业与内河航运中心。政府管理的优势产业非常多元且扎实，主要包括：大型发动机制造（如戴姆勒发动机厂）、轨道交通技术、能源系统解决方案，以及作为欧洲战略要道的内河港物流与供应链管理。</t>
        </is>
      </c>
      <c r="I488" t="inlineStr">
        <is>
          <t>Christian W. Hübel</t>
        </is>
      </c>
      <c r="J488" t="inlineStr">
        <is>
          <t>民主与战略部门主管</t>
        </is>
      </c>
      <c r="K488"/>
      <c r="L488" s="2" t="str">
        <f>=HYPERLINK("mailto:Christian.Huebel@mannheim.de", "Christian.Huebel@mannheim.de")</f>
        <v>Christian.Huebel@mannheim.de</v>
      </c>
      <c r="M488" t="inlineStr">
        <is>
          <t>+49 621 293 6660</t>
        </is>
      </c>
      <c r="N488" s="3">
        <v>46048</v>
      </c>
      <c r="O488" t="inlineStr">
        <is>
          <t>拒绝</t>
        </is>
      </c>
      <c r="P488" t="inlineStr">
        <is>
          <t>目前与中国城市的交流仅限于友好城市伙伴</t>
        </is>
      </c>
      <c r="Q488" t="inlineStr">
        <is>
          <t>昆山友好城市-德国-鲁尔工业园区附近</t>
        </is>
      </c>
      <c r="R488"/>
      <c r="S488"/>
      <c r="T488"/>
    </row>
    <row r="489" ht="25.5" customHeight="1">
      <c r="A489" t="inlineStr">
        <is>
          <t>乌珀塔尔/Wuppertal</t>
        </is>
      </c>
      <c r="B489" t="inlineStr">
        <is>
          <t>德国</t>
        </is>
      </c>
      <c r="C489" t="inlineStr">
        <is>
          <t>乌珀塔尔</t>
        </is>
      </c>
      <c r="D489" t="inlineStr">
        <is>
          <t>政府</t>
        </is>
      </c>
      <c r="E489" t="inlineStr">
        <is>
          <t>政府</t>
        </is>
      </c>
      <c r="F489" t="inlineStr">
        <is>
          <t>约翰尼斯-劳广场 1号
邮编：42275
乌珀塔尔
北莱茵-威斯特法伦州
德国</t>
        </is>
      </c>
      <c r="G489" s="2" t="str">
        <f>=HYPERLINK("https://www.wuppertal.de/", "https://www.wuppertal.de/")</f>
        <v>https://www.wuppertal.de/</v>
      </c>
      <c r="H489" t="inlineStr">
        <is>
          <t>这里是德国制造业“隐形冠军”与关键汽车零部件的重要集聚地。政府的优势在于培育了大量在全球细分市场占据主导地位的中小企业，其领先领域集中在高精度传动系统、特种金属线材、汽车悬挂技术与先进聚合物材料的研发与制造上。</t>
        </is>
      </c>
      <c r="I489"/>
      <c r="J489"/>
      <c r="K489"/>
      <c r="L489" s="2"/>
      <c r="M489"/>
      <c r="N489" s="3">
        <v>46048</v>
      </c>
      <c r="O489" t="inlineStr">
        <is>
          <t>已联系未回复</t>
        </is>
      </c>
      <c r="P489"/>
      <c r="Q489" t="inlineStr">
        <is>
          <t>昆山友好城市-德国-鲁尔工业园区附近</t>
        </is>
      </c>
      <c r="R489"/>
      <c r="S489"/>
      <c r="T489"/>
    </row>
    <row r="490" ht="25.5" customHeight="1">
      <c r="A490" t="inlineStr">
        <is>
          <t>莱比锡/Leipzig</t>
        </is>
      </c>
      <c r="B490" t="inlineStr">
        <is>
          <t>德国</t>
        </is>
      </c>
      <c r="C490" t="inlineStr">
        <is>
          <t>莱比锡</t>
        </is>
      </c>
      <c r="D490" t="inlineStr">
        <is>
          <t>政府</t>
        </is>
      </c>
      <c r="E490" t="inlineStr">
        <is>
          <t>政府</t>
        </is>
      </c>
      <c r="F490" t="inlineStr">
        <is>
          <t>马丁·路德·金广场 1号
邮编：04109
莱比锡
萨克森州
德国</t>
        </is>
      </c>
      <c r="G490" s="2" t="str">
        <f>=HYPERLINK("https://english.leipzig.de/", "https://english.leipzig.de/")</f>
        <v>https://english.leipzig.de/</v>
      </c>
      <c r="H490" t="inlineStr">
        <is>
          <t>政府正将城市打造为德国东部崛起的“汽车制造与中欧物流”双枢纽。核心优势在于成功引入了宝马最先进的整车工厂，并以此为核心，配套发展了现代化的汽车零部件集群，同时依托其位居欧洲中心的地理位置，建设了高效的空运与货运中心，形成强大的产业物流联动。</t>
        </is>
      </c>
      <c r="I490"/>
      <c r="J490"/>
      <c r="K490"/>
      <c r="L490" s="2" t="str">
        <f>=HYPERLINK("mailto:international@leipzig.de", "international@leipzig.de")</f>
        <v>international@leipzig.de</v>
      </c>
      <c r="M490" t="inlineStr">
        <is>
          <t>0341 123-2066</t>
        </is>
      </c>
      <c r="N490" s="3">
        <v>46048</v>
      </c>
      <c r="O490" t="inlineStr">
        <is>
          <t>已联系未回复</t>
        </is>
      </c>
      <c r="P490"/>
      <c r="Q490" t="inlineStr">
        <is>
          <t>昆山友好城市-德国-鲁尔工业园区附近</t>
        </is>
      </c>
      <c r="R490"/>
      <c r="S490"/>
      <c r="T490"/>
    </row>
    <row r="491" ht="25.5" customHeight="1">
      <c r="A491" t="inlineStr">
        <is>
          <t>德累斯顿/Dresden</t>
        </is>
      </c>
      <c r="B491" t="inlineStr">
        <is>
          <t>德国</t>
        </is>
      </c>
      <c r="C491" t="inlineStr">
        <is>
          <t>德累斯顿</t>
        </is>
      </c>
      <c r="D491" t="inlineStr">
        <is>
          <t>政府</t>
        </is>
      </c>
      <c r="E491" t="inlineStr">
        <is>
          <t>政府</t>
        </is>
      </c>
      <c r="F491" t="inlineStr">
        <is>
          <t>市政厅广场 1号
邮编：01067
德累斯顿
萨克森州
德国</t>
        </is>
      </c>
      <c r="G491" s="2" t="str">
        <f>=HYPERLINK("https://www.dresden.de/index_de.php", "https://www.dresden.de/index_de.php")</f>
        <v>https://www.dresden.de/index_de.php</v>
      </c>
      <c r="H491" t="inlineStr">
        <is>
          <t>这里是欧洲“硅谷”与未来智能硬件的制造心脏。政府主导建立了全球领先的半导体与微电子产业集群，拥有英特尔、英飞凌、格芯等巨头的大型晶圆厂。其核心优势在于先进芯片制造、集成电路设计，并以此为基础，引领汽车电子、传感器和纳米技术的创新发展。</t>
        </is>
      </c>
      <c r="I491"/>
      <c r="J491" t="inlineStr">
        <is>
          <t>欧洲和国际事务部主任</t>
        </is>
      </c>
      <c r="K491"/>
      <c r="L491" s="2" t="str">
        <f>=HYPERLINK("mailto:europa@dresden.de", "europa@dresden.de")</f>
        <v>europa@dresden.de</v>
      </c>
      <c r="M491" t="inlineStr">
        <is>
          <t>+49 351 4882390</t>
        </is>
      </c>
      <c r="N491" s="3">
        <v>46048</v>
      </c>
      <c r="O491" t="inlineStr">
        <is>
          <t>已联系未回复</t>
        </is>
      </c>
      <c r="P491"/>
      <c r="Q491" t="inlineStr">
        <is>
          <t>昆山友好城市-德国-鲁尔工业园区附近</t>
        </is>
      </c>
      <c r="R491"/>
      <c r="S491"/>
      <c r="T491"/>
    </row>
    <row r="492" ht="25.5" customHeight="1">
      <c r="A492" t="inlineStr">
        <is>
          <t>科隆 / Köln</t>
        </is>
      </c>
      <c r="B492" t="inlineStr">
        <is>
          <t>德国</t>
        </is>
      </c>
      <c r="C492" t="inlineStr">
        <is>
          <t>科隆</t>
        </is>
      </c>
      <c r="D492" t="inlineStr">
        <is>
          <t>政府</t>
        </is>
      </c>
      <c r="E492" t="inlineStr">
        <is>
          <t>政府</t>
        </is>
      </c>
      <c r="F492" t="inlineStr">
        <is>
          <t>市政厅广场 2号
邮编：50667
科隆市
北莱茵-威斯特法伦州
德国</t>
        </is>
      </c>
      <c r="G492" s="2" t="str">
        <f>=HYPERLINK("mailto:stadtverwaltung@stadt-koeln.de", "stadtverwaltung@stadt-koeln.de")</f>
        <v>stadtverwaltung@stadt-koeln.de</v>
      </c>
      <c r="H492" t="inlineStr">
        <is>
          <t>科隆市政府位于科隆老城的核心，其市政厅建筑群融合了从中世纪到现代的不同风格，是该市超过七十年民主自治历史的象征。作为德国人口第四大城市和北威州最大经济中心的行政核心，其政府架构完善，职能覆盖广泛，既管理着世界闻名的历史文化名城，也主导着莱茵河畔国际化大都市的经济与创新事务。</t>
        </is>
      </c>
      <c r="I492" t="inlineStr">
        <is>
          <t>Cora</t>
        </is>
      </c>
      <c r="J492" t="inlineStr">
        <is>
          <t>市长办公室
国际及欧洲事务</t>
        </is>
      </c>
      <c r="K492"/>
      <c r="L492" s="2" t="str">
        <f>=HYPERLINK("mailto:Eurocologne@STADT-KOELN.DE", "Eurocologne@STADT-KOELN.DE")</f>
        <v>Eurocologne@STADT-KOELN.DE</v>
      </c>
      <c r="M492" t="inlineStr">
        <is>
          <t>+49 221 / 221-30361</t>
        </is>
      </c>
      <c r="N492" s="3">
        <v>46048</v>
      </c>
      <c r="O492" t="inlineStr">
        <is>
          <t>拒绝</t>
        </is>
      </c>
      <c r="P492" t="inlineStr">
        <is>
          <t>与北京合作的很好，不考虑其他的城市合作交流了</t>
        </is>
      </c>
      <c r="Q492" t="inlineStr">
        <is>
          <t>昆山友好城市-德国-鲁尔工业园区附近</t>
        </is>
      </c>
      <c r="R492"/>
      <c r="S492"/>
      <c r="T492"/>
    </row>
    <row r="493" ht="25.5" customHeight="1">
      <c r="A493" t="inlineStr">
        <is>
          <t>不来梅 / Bremen</t>
        </is>
      </c>
      <c r="B493" t="inlineStr">
        <is>
          <t>德国</t>
        </is>
      </c>
      <c r="C493" t="inlineStr">
        <is>
          <t>不来梅</t>
        </is>
      </c>
      <c r="D493" t="inlineStr">
        <is>
          <t>政府</t>
        </is>
      </c>
      <c r="E493" t="inlineStr">
        <is>
          <t>政府</t>
        </is>
      </c>
      <c r="F493" t="inlineStr">
        <is>
          <t>市场广场 21号
邮编：28195
不来梅市
不来梅自由汉萨市（州）
德国</t>
        </is>
      </c>
      <c r="G493" s="2" t="str">
        <f>=HYPERLINK("https://www.rathaus.bremen.de/english-2668", "https://www.rathaus.bremen.de/english-2668")</f>
        <v>https://www.rathaus.bremen.de/english-2668</v>
      </c>
      <c r="H493" t="inlineStr">
        <is>
          <t>不来梅市政府（即州政府）在联合国教科文组织世界遗产——不来梅市政厅内办公，体现了自由汉萨城市的悠久自治传统。作为德国最小的联邦州，其政府采用市州合一的精简架构，兼具州级和市级行政权，高效管理着这座以港口和经济自由闻名的千年古城及其外港不来梅哈芬。</t>
        </is>
      </c>
      <c r="I493" t="inlineStr">
        <is>
          <t>Randy Haubner</t>
        </is>
      </c>
      <c r="J493" t="inlineStr">
        <is>
          <t>国际合作与发展部</t>
        </is>
      </c>
      <c r="K493"/>
      <c r="L493" s="2" t="str">
        <f>=HYPERLINK("mailto:randy.haubner@sk.bremen.de", "randy.haubner@sk.bremen.de")</f>
        <v>randy.haubner@sk.bremen.de</v>
      </c>
      <c r="M493" t="inlineStr">
        <is>
          <t>+49 421 361-2878</t>
        </is>
      </c>
      <c r="N493" s="3">
        <v>46048</v>
      </c>
      <c r="O493" t="inlineStr">
        <is>
          <t>已联系未回复</t>
        </is>
      </c>
      <c r="P493"/>
      <c r="Q493" t="inlineStr">
        <is>
          <t>昆山友好城市-德国-鲁尔工业园区附近</t>
        </is>
      </c>
      <c r="R493"/>
      <c r="S493"/>
      <c r="T493"/>
    </row>
    <row r="494" ht="25.5" customHeight="1">
      <c r="A494" t="inlineStr">
        <is>
          <t>亚琛 / Aachen</t>
        </is>
      </c>
      <c r="B494" t="inlineStr">
        <is>
          <t>德国</t>
        </is>
      </c>
      <c r="C494" t="inlineStr">
        <is>
          <t>亚琛</t>
        </is>
      </c>
      <c r="D494" t="inlineStr">
        <is>
          <t>政府</t>
        </is>
      </c>
      <c r="E494" t="inlineStr">
        <is>
          <t>政府</t>
        </is>
      </c>
      <c r="F494" t="inlineStr">
        <is>
          <t>市场广场 39号
邮编：52058
亚琛市
北莱茵-威斯特法伦州
德国</t>
        </is>
      </c>
      <c r="G494" s="2" t="str">
        <f>=HYPERLINK("https://www.aachen.de/", "https://www.aachen.de/")</f>
        <v>https://www.aachen.de/</v>
      </c>
      <c r="H494" t="inlineStr">
        <is>
          <t>亚琛市政府坐落于宏伟的哥特式市政厅内，与对面的亚琛大教堂共同构成了城市的历史心脏。作为一座重要的大学城和科技中心，政府运作强调创新与服务，与亚琛工业大学等科研机构建立了极其紧密的“政学研”协同机制，共同塑造了这座三国交界城市的未来。</t>
        </is>
      </c>
      <c r="I494" t="inlineStr">
        <is>
          <t>Ms. Frau Lancé</t>
        </is>
      </c>
      <c r="J494" t="inlineStr">
        <is>
          <t>机构发展部</t>
        </is>
      </c>
      <c r="K494"/>
      <c r="L494" s="2" t="str">
        <f>=HYPERLINK("http://toni.lance@mail.aachen.de", "toni.lance@mail.aachen.de")</f>
        <v>toni.lance@mail.aachen.de</v>
      </c>
      <c r="M494" t="inlineStr">
        <is>
          <t>0241 432-7650</t>
        </is>
      </c>
      <c r="N494" s="3">
        <v>46048</v>
      </c>
      <c r="O494" t="inlineStr">
        <is>
          <t>已联系未回复</t>
        </is>
      </c>
      <c r="P494"/>
      <c r="Q494" t="inlineStr">
        <is>
          <t>昆山友好城市-德国-鲁尔工业园区附近</t>
        </is>
      </c>
      <c r="R494"/>
      <c r="S494"/>
      <c r="T494"/>
    </row>
    <row r="495" ht="25.5" customHeight="1">
      <c r="A495" t="inlineStr">
        <is>
          <t>开姆尼茨/ Chemnitz</t>
        </is>
      </c>
      <c r="B495" t="inlineStr">
        <is>
          <t>德国</t>
        </is>
      </c>
      <c r="C495" t="inlineStr">
        <is>
          <t>开姆尼茨</t>
        </is>
      </c>
      <c r="D495" t="inlineStr">
        <is>
          <t>政府</t>
        </is>
      </c>
      <c r="E495" t="inlineStr">
        <is>
          <t>政府</t>
        </is>
      </c>
      <c r="F495" t="inlineStr">
        <is>
          <t>市场广场 1号
邮编：09111
开姆尼茨市
萨克森自由州
德国</t>
        </is>
      </c>
      <c r="G495" s="2" t="str">
        <f>=HYPERLINK("https://www.chemnitz.de/de/", "https://www.chemnitz.de/de/")</f>
        <v>https://www.chemnitz.de/de/</v>
      </c>
      <c r="H495" t="inlineStr">
        <is>
          <t>开姆尼茨市政府所在的市政厅是城市地标，见证了萨克森州这座重要工业城市的变迁。政府正积极推动从传统机械制造业基地向现代高科技中心的转型，其行政重点聚焦于经济促进、城市更新和数字化转型，是德国“东部崛起”战略中的关键参与者。</t>
        </is>
      </c>
      <c r="I495"/>
      <c r="J495" t="inlineStr">
        <is>
          <t>欧洲和国际关系部电话</t>
        </is>
      </c>
      <c r="K495"/>
      <c r="L495" s="2" t="str">
        <f>=HYPERLINK("mailto:international@stadt-chemnitz.de", "international@stadt-chemnitz.de")</f>
        <v>international@stadt-chemnitz.de</v>
      </c>
      <c r="M495" t="inlineStr">
        <is>
          <t>0371 488 1520</t>
        </is>
      </c>
      <c r="N495" s="3">
        <v>46048</v>
      </c>
      <c r="O495" t="inlineStr">
        <is>
          <t>已联系已回复</t>
        </is>
      </c>
      <c r="P495" t="inlineStr">
        <is>
          <t>很感兴趣，并愿意引荐经济处，并且想要了解更多合作领域</t>
        </is>
      </c>
      <c r="Q495" t="inlineStr">
        <is>
          <t>昆山友好城市-德国-鲁尔工业园区附近</t>
        </is>
      </c>
      <c r="R495"/>
      <c r="S495"/>
      <c r="T495"/>
    </row>
    <row r="496" ht="25.5" customHeight="1">
      <c r="A496" t="inlineStr">
        <is>
          <t>萨尔布吕肯 / Saarbrücken</t>
        </is>
      </c>
      <c r="B496" t="inlineStr">
        <is>
          <t>德国</t>
        </is>
      </c>
      <c r="C496" t="inlineStr">
        <is>
          <t>萨尔布吕肯</t>
        </is>
      </c>
      <c r="D496" t="inlineStr">
        <is>
          <t>政府</t>
        </is>
      </c>
      <c r="E496" t="inlineStr">
        <is>
          <t>政府</t>
        </is>
      </c>
      <c r="F496" t="inlineStr">
        <is>
          <t>市政厅广场 1号
邮编：66111
萨尔布吕肯市
萨尔州
德国
雷根斯堡 / Regensburg</t>
        </is>
      </c>
      <c r="G496" s="2" t="str">
        <f>=HYPERLINK("https://www.saarbruecken.de/en", "https://www.saarbruecken.de/en")</f>
        <v>https://www.saarbruecken.de/en</v>
      </c>
      <c r="H496" t="inlineStr">
        <is>
          <t>作为萨尔州的首府，萨尔布吕肯政府在战后重建的现代市政大楼内履行州级和市级双重管理职责。其政府工作深度嵌入欧洲一体化进程，尤其注重推动与法国的跨境合作，并将促进传统钢铁产业的转型升级和新兴数字产业的发展作为核心经济战略。</t>
        </is>
      </c>
      <c r="I496" t="inlineStr">
        <is>
          <t>Martin Schöneich</t>
        </is>
      </c>
      <c r="J496"/>
      <c r="K496"/>
      <c r="L496" s="2" t="str">
        <f>=HYPERLINK("mailto:interregional@saarbruecken.de", "interregional@saarbruecken.de")</f>
        <v>interregional@saarbruecken.de</v>
      </c>
      <c r="M496" t="inlineStr">
        <is>
          <t xml:space="preserve"> +49 681 905-2100</t>
        </is>
      </c>
      <c r="N496" s="3">
        <v>46048</v>
      </c>
      <c r="O496" t="inlineStr">
        <is>
          <t>已联系已回复</t>
        </is>
      </c>
      <c r="P496" t="inlineStr">
        <is>
          <t>表示建立友好城市有两个前提要求，需要满足才可以</t>
        </is>
      </c>
      <c r="Q496" t="inlineStr">
        <is>
          <t>昆山友好城市-德国-鲁尔工业园区附近</t>
        </is>
      </c>
      <c r="R496"/>
      <c r="S496"/>
      <c r="T496"/>
    </row>
    <row r="497" ht="25.5" customHeight="1">
      <c r="A497" t="inlineStr">
        <is>
          <t>雷根斯堡 / Regensburg</t>
        </is>
      </c>
      <c r="B497" t="inlineStr">
        <is>
          <t>德国</t>
        </is>
      </c>
      <c r="C497" t="inlineStr">
        <is>
          <t>雷根斯堡</t>
        </is>
      </c>
      <c r="D497" t="inlineStr">
        <is>
          <t>政府</t>
        </is>
      </c>
      <c r="E497" t="inlineStr">
        <is>
          <t>政府</t>
        </is>
      </c>
      <c r="F497" t="inlineStr">
        <is>
          <t>市政厅广场 1号
邮编：93047
雷根斯堡市
巴伐利亚自由州
德国</t>
        </is>
      </c>
      <c r="G497" s="2" t="str">
        <f>=HYPERLINK("https://www.regensburg.de/", "https://www.regensburg.de/")</f>
        <v>https://www.regensburg.de/</v>
      </c>
      <c r="H497" t="inlineStr">
        <is>
          <t>雷根斯堡市政府在列入世界遗产的老城市政厅办公，完美融合了深厚的历史传承与现代化的高效管理。政府在经济政策上高度成功，专注于吸引和留住高科技企业，同时极其注重保持城市极高的生活质量和文化遗产，形成了独特的发展模式。</t>
        </is>
      </c>
      <c r="I497" t="inlineStr">
        <is>
          <t>Sandra Schneider</t>
        </is>
      </c>
      <c r="J497"/>
      <c r="K497"/>
      <c r="L497" s="2" t="str">
        <f>=HYPERLINK("mailto:Schneider.Sandra@Regensburg.de", "Schneider.Sandra@Regensburg.de")</f>
        <v>Schneider.Sandra@Regensburg.de</v>
      </c>
      <c r="M497" t="inlineStr">
        <is>
          <t>(0941) 507-1101</t>
        </is>
      </c>
      <c r="N497" s="3">
        <v>46048</v>
      </c>
      <c r="O497" t="inlineStr">
        <is>
          <t>已联系未回复</t>
        </is>
      </c>
      <c r="P497"/>
      <c r="Q497" t="inlineStr">
        <is>
          <t>昆山友好城市-德国-鲁尔工业园区附近</t>
        </is>
      </c>
      <c r="R497"/>
      <c r="S497"/>
      <c r="T497"/>
    </row>
    <row r="498" ht="25.5" customHeight="1">
      <c r="A498" t="inlineStr">
        <is>
          <t>哈根/Hagen</t>
        </is>
      </c>
      <c r="B498" t="inlineStr">
        <is>
          <t>德国</t>
        </is>
      </c>
      <c r="C498" t="inlineStr">
        <is>
          <t>哈根</t>
        </is>
      </c>
      <c r="D498" t="inlineStr">
        <is>
          <t>政府</t>
        </is>
      </c>
      <c r="E498" t="inlineStr">
        <is>
          <t>政府</t>
        </is>
      </c>
      <c r="F498" t="inlineStr">
        <is>
          <t>哈根市市场广场1号，58095 哈根</t>
        </is>
      </c>
      <c r="G498" s="2" t="str">
        <f>=HYPERLINK("https://www.hagen.de/", "https://www.hagen.de/")</f>
        <v>https://www.hagen.de/</v>
      </c>
      <c r="H498" t="inlineStr">
        <is>
          <t>哈根位于德国北莱茵-威斯特法伦州，以机械工程、金属加工及精密机械制造为主，拥有悠久的工业传统。该市是一个重要的 高端工具制造 和 精密加工 中心，吸引了大量的相关企业和研发机构。</t>
        </is>
      </c>
      <c r="I498"/>
      <c r="J498"/>
      <c r="K498"/>
      <c r="L498" s="2" t="str">
        <f>=HYPERLINK("mailto:stadtverwaltung@stadt-hagen.de", "stadtverwaltung@stadt-hagen.de")</f>
        <v>stadtverwaltung@stadt-hagen.de</v>
      </c>
      <c r="M498" t="inlineStr">
        <is>
          <t>+49 2331 207-5000</t>
        </is>
      </c>
      <c r="N498" s="3">
        <v>46048</v>
      </c>
      <c r="O498" t="inlineStr">
        <is>
          <t>已联系未回复</t>
        </is>
      </c>
      <c r="P498"/>
      <c r="Q498" t="inlineStr">
        <is>
          <t>昆山友好城市-德国-鲁尔工业园区附近</t>
        </is>
      </c>
      <c r="R498"/>
      <c r="S498"/>
      <c r="T498"/>
    </row>
    <row r="499" ht="25.5" customHeight="1">
      <c r="A499" t="inlineStr">
        <is>
          <t>波恩/Bonn</t>
        </is>
      </c>
      <c r="B499" t="inlineStr">
        <is>
          <t>德国</t>
        </is>
      </c>
      <c r="C499" t="inlineStr">
        <is>
          <t>波恩</t>
        </is>
      </c>
      <c r="D499" t="inlineStr">
        <is>
          <t>政府</t>
        </is>
      </c>
      <c r="E499" t="inlineStr">
        <is>
          <t>政府</t>
        </is>
      </c>
      <c r="F499" t="inlineStr">
        <is>
          <t>波恩联邦市，
柏林广场 2 号，
53103 波恩</t>
        </is>
      </c>
      <c r="G499" s="2" t="str">
        <f>=HYPERLINK("https://www.bonn.de/", "https://www.bonn.de/")</f>
        <v>https://www.bonn.de/</v>
      </c>
      <c r="H499" t="inlineStr">
        <is>
          <t>波恩作为德国的前首都，位于北莱茵-威斯特法伦州，现已发展成为信息技术、通信技术以及媒体产业的核心城市之一。这里也是生物技术和医疗工程的重要基地，拥有多家知名研究机构和创新公司。</t>
        </is>
      </c>
      <c r="I499"/>
      <c r="J499"/>
      <c r="K499"/>
      <c r="L499" s="2" t="str">
        <f>=HYPERLINK("http://poststelle(at)bonn.de-mail.de", "poststelle(at)bonn.de-mail.de")</f>
        <v>poststelle(at)bonn.de-mail.de</v>
      </c>
      <c r="M499" t="inlineStr">
        <is>
          <t>+49 228 770</t>
        </is>
      </c>
      <c r="N499" s="3">
        <v>46048</v>
      </c>
      <c r="O499" t="inlineStr">
        <is>
          <t>已联系未回复</t>
        </is>
      </c>
      <c r="P499"/>
      <c r="Q499" t="inlineStr">
        <is>
          <t>昆山友好城市-德国-鲁尔工业园区附近</t>
        </is>
      </c>
      <c r="R499"/>
      <c r="S499"/>
      <c r="T499"/>
    </row>
    <row r="500" ht="25.5" customHeight="1">
      <c r="A500" t="inlineStr">
        <is>
          <t>基尔/Kiel</t>
        </is>
      </c>
      <c r="B500" t="inlineStr">
        <is>
          <t>德国</t>
        </is>
      </c>
      <c r="C500" t="inlineStr">
        <is>
          <t>基尔</t>
        </is>
      </c>
      <c r="D500" t="inlineStr">
        <is>
          <t>政府</t>
        </is>
      </c>
      <c r="E500" t="inlineStr">
        <is>
          <t>政府</t>
        </is>
      </c>
      <c r="F500" t="inlineStr">
        <is>
          <t>基尔市市政厅，24103 基尔</t>
        </is>
      </c>
      <c r="G500" s="2" t="str">
        <f>=HYPERLINK("https://www.kiel.de/de/kiel_zukunft/index.php", "https://www.kiel.de/de/kiel_zukunft/index.php")</f>
        <v>https://www.kiel.de/de/kiel_zukunft/index.php</v>
      </c>
      <c r="H500" t="inlineStr">
        <is>
          <t>基尔是德国最重要的港口城市之一，位于波罗的海沿岸，长期以来以 船舶建造 和 海洋技术 为主导产业。此外，基尔还是 海洋研究 和 环保技术的重要城市，拥有多所相关的科研机构。</t>
        </is>
      </c>
      <c r="I500" t="inlineStr">
        <is>
          <t xml:space="preserve">Robert Sochacki </t>
        </is>
      </c>
      <c r="J500"/>
      <c r="K500"/>
      <c r="L500" s="2" t="str">
        <f>=HYPERLINK("mailto:Robert.Sochacki@kiel.de", "Robert.Sochacki@kiel.de")</f>
        <v>Robert.Sochacki@kiel.de</v>
      </c>
      <c r="M500" t="inlineStr">
        <is>
          <t>0431 901-2502</t>
        </is>
      </c>
      <c r="N500" s="3">
        <v>46048</v>
      </c>
      <c r="O500" t="inlineStr">
        <is>
          <t>拒绝</t>
        </is>
      </c>
      <c r="P500" t="inlineStr">
        <is>
          <t>拒绝-表示现在的资源只能够维持于现有的友好城市青岛</t>
        </is>
      </c>
      <c r="Q500" t="inlineStr">
        <is>
          <t>昆山友好城市-德国-鲁尔工业园区附近</t>
        </is>
      </c>
      <c r="R500"/>
      <c r="S500"/>
      <c r="T500"/>
    </row>
    <row r="501" ht="25.5" customHeight="1">
      <c r="A501" t="inlineStr">
        <is>
          <t>弗赖堡/Freiburg</t>
        </is>
      </c>
      <c r="B501" t="inlineStr">
        <is>
          <t>德国</t>
        </is>
      </c>
      <c r="C501" t="inlineStr">
        <is>
          <t>弗赖堡</t>
        </is>
      </c>
      <c r="D501" t="inlineStr">
        <is>
          <t>政府</t>
        </is>
      </c>
      <c r="E501" t="inlineStr">
        <is>
          <t>政府</t>
        </is>
      </c>
      <c r="F501" t="inlineStr">
        <is>
          <t>市政厅广场 2-4
79098 弗莱堡</t>
        </is>
      </c>
      <c r="G501" s="2" t="str">
        <f>=HYPERLINK("https://www.freiburg.de/pb/,Lde/205243.html", "https://www.freiburg.de/pb/,Lde/205243.html")</f>
        <v>https://www.freiburg.de/pb/,Lde/205243.html</v>
      </c>
      <c r="H501" t="inlineStr">
        <is>
          <t>弗赖堡位于德国巴登-符腾堡州，是德国 可再生能源 和 环保技术 的领先城市之一。该市特别以太阳能和风能技术闻名，并致力于推动绿色能源和清洁技术的创新与发展。</t>
        </is>
      </c>
      <c r="I501" t="inlineStr">
        <is>
          <t>Anke Wiedemann</t>
        </is>
      </c>
      <c r="J501"/>
      <c r="K501"/>
      <c r="L501" s="2" t="str">
        <f>=HYPERLINK("mailto:anke.wiedemann@freiburg.de", "anke.wiedemann@freiburg.de")</f>
        <v>anke.wiedemann@freiburg.de</v>
      </c>
      <c r="M501" t="inlineStr">
        <is>
          <t>+49 761 2011020</t>
        </is>
      </c>
      <c r="N501" s="3">
        <v>46048</v>
      </c>
      <c r="O501" t="inlineStr">
        <is>
          <t>已联系未回复</t>
        </is>
      </c>
      <c r="P501"/>
      <c r="Q501" t="inlineStr">
        <is>
          <t>昆山友好城市-德国-鲁尔工业园区附近</t>
        </is>
      </c>
      <c r="R501"/>
      <c r="S501"/>
      <c r="T501"/>
    </row>
    <row r="502" ht="25.5" customHeight="1">
      <c r="A502" t="inlineStr">
        <is>
          <t>巴特洪堡/Bad Honnef</t>
        </is>
      </c>
      <c r="B502" t="inlineStr">
        <is>
          <t>德国</t>
        </is>
      </c>
      <c r="C502" t="inlineStr">
        <is>
          <t>巴特洪堡</t>
        </is>
      </c>
      <c r="D502" t="inlineStr">
        <is>
          <t>政府</t>
        </is>
      </c>
      <c r="E502" t="inlineStr">
        <is>
          <t>政府</t>
        </is>
      </c>
      <c r="F502" t="inlineStr">
        <is>
          <t>巴特洪堡市议会
市政厅广场 1
61348 巴特洪堡范德霍厄</t>
        </is>
      </c>
      <c r="G502" s="2" t="str">
        <f>=HYPERLINK("https://www.bad-homburg.de/de", "https://www.bad-homburg.de/de")</f>
        <v>https://www.bad-homburg.de/de</v>
      </c>
      <c r="H502" t="inlineStr">
        <is>
          <t>巴特洪堡位于德国北莱茵-威斯特法伦州，主要以 医疗技术 和 生物医药 为特色。这里有许多国际领先的健康产业和医学研究机构，是生物医药领域的创新中心。</t>
        </is>
      </c>
      <c r="I502"/>
      <c r="J502"/>
      <c r="K502"/>
      <c r="L502" s="2" t="str">
        <f>=HYPERLINK("mailto:stadtbuero@bad-homburg.de", "stadtbuero@bad-homburg.de")</f>
        <v>stadtbuero@bad-homburg.de</v>
      </c>
      <c r="M502" t="inlineStr">
        <is>
          <t>061721003104</t>
        </is>
      </c>
      <c r="N502" s="3">
        <v>46048</v>
      </c>
      <c r="O502" t="inlineStr">
        <is>
          <t>已联系未回复</t>
        </is>
      </c>
      <c r="P502"/>
      <c r="Q502" t="inlineStr">
        <is>
          <t>昆山友好城市-德国-鲁尔工业园区附近</t>
        </is>
      </c>
      <c r="R502"/>
      <c r="S502"/>
      <c r="T502"/>
    </row>
    <row r="503" ht="25.5" customHeight="1">
      <c r="A503" t="inlineStr">
        <is>
          <t>哈雷/Halle</t>
        </is>
      </c>
      <c r="B503" t="inlineStr">
        <is>
          <t>德国</t>
        </is>
      </c>
      <c r="C503" t="inlineStr">
        <is>
          <t>哈雷</t>
        </is>
      </c>
      <c r="D503" t="inlineStr">
        <is>
          <t>政府</t>
        </is>
      </c>
      <c r="E503" t="inlineStr">
        <is>
          <t>政府</t>
        </is>
      </c>
      <c r="F503" t="inlineStr">
        <is>
          <t>市场广场1号，06108 哈勒（萨勒）</t>
        </is>
      </c>
      <c r="G503" s="2" t="str">
        <f>=HYPERLINK("https://halle.de/", "https://halle.de/")</f>
        <v>https://halle.de/</v>
      </c>
      <c r="H503" t="inlineStr">
        <is>
          <t>哈雷是德国萨克森-安哈尔特州的重要城市，拥有强大的 化学工业 和 机械制造 基础。哈雷在 生物技术 和 农业技术，尤其是在农业机械领域，也处于领先地位，是创新与工业结合的重要示范城市。</t>
        </is>
      </c>
      <c r="I503"/>
      <c r="J503"/>
      <c r="K503"/>
      <c r="L503" s="2" t="str">
        <f>=HYPERLINK("mailto:pressestelle@halle.de", "pressestelle@halle.de")</f>
        <v>pressestelle@halle.de</v>
      </c>
      <c r="M503" t="inlineStr">
        <is>
          <t>+49 345 2211115</t>
        </is>
      </c>
      <c r="N503" s="3">
        <v>46048</v>
      </c>
      <c r="O503" t="inlineStr">
        <is>
          <t>已联系未回复</t>
        </is>
      </c>
      <c r="P503"/>
      <c r="Q503" t="inlineStr">
        <is>
          <t>昆山友好城市-德国-鲁尔工业园区附近</t>
        </is>
      </c>
      <c r="R503"/>
      <c r="S503"/>
      <c r="T503"/>
    </row>
    <row r="504" ht="25.5" customHeight="1">
      <c r="A504" t="inlineStr">
        <is>
          <t>阿伦/Aalen</t>
        </is>
      </c>
      <c r="B504" t="inlineStr">
        <is>
          <t>德国</t>
        </is>
      </c>
      <c r="C504" t="inlineStr">
        <is>
          <t>阿伦</t>
        </is>
      </c>
      <c r="D504" t="inlineStr">
        <is>
          <t>政府</t>
        </is>
      </c>
      <c r="E504" t="inlineStr">
        <is>
          <t>政府</t>
        </is>
      </c>
      <c r="F504" t="inlineStr">
        <is>
          <t>阿伦市政厅
市场广场 30
73430 阿伦</t>
        </is>
      </c>
      <c r="G504" s="2" t="str">
        <f>=HYPERLINK("https://www.aalen.de/startseite.1.htm", "https://www.aalen.de/startseite.1.htm")</f>
        <v>https://www.aalen.de/startseite.1.htm</v>
      </c>
      <c r="H504" t="inlineStr">
        <is>
          <t>阿伦位于德国巴登-符腾堡州，是一个以 精密机械 和 自动化技术 为主的工业城市。该市是 高端工具制造 的重要基地，许多世界领先的精密加工企业和自动化技术公司在此设立研发中心。</t>
        </is>
      </c>
      <c r="I504" t="inlineStr">
        <is>
          <t>Judith Wittmann</t>
        </is>
      </c>
      <c r="J504"/>
      <c r="K504"/>
      <c r="L504" s="2" t="str">
        <f>=HYPERLINK("mailto:staedtepartner@aalen.de", "staedtepartner@aalen.de")</f>
        <v>staedtepartner@aalen.de</v>
      </c>
      <c r="M504" t="inlineStr">
        <is>
          <t>07361 52 1171</t>
        </is>
      </c>
      <c r="N504" s="3">
        <v>46048</v>
      </c>
      <c r="O504" t="inlineStr">
        <is>
          <t>已联系未回复</t>
        </is>
      </c>
      <c r="P504"/>
      <c r="Q504" t="inlineStr">
        <is>
          <t>昆山友好城市-德国-鲁尔工业园区附近</t>
        </is>
      </c>
      <c r="R504"/>
      <c r="S504"/>
      <c r="T504"/>
    </row>
    <row r="505" ht="25.5" customHeight="1">
      <c r="A505" t="inlineStr">
        <is>
          <t>奥伯豪森/Oberhausen</t>
        </is>
      </c>
      <c r="B505" t="inlineStr">
        <is>
          <t>德国</t>
        </is>
      </c>
      <c r="C505" t="inlineStr">
        <is>
          <t>奥伯豪森</t>
        </is>
      </c>
      <c r="D505" t="inlineStr">
        <is>
          <t>政府</t>
        </is>
      </c>
      <c r="E505" t="inlineStr">
        <is>
          <t>政府</t>
        </is>
      </c>
      <c r="F505" t="inlineStr">
        <is>
          <t>德国奥伯豪森市，邮编46042，施瓦茨大街72号</t>
        </is>
      </c>
      <c r="G505" s="2" t="str">
        <f>=HYPERLINK("https://www.oberhausen.de/de/index.php", "https://www.oberhausen.de/de/index.php")</f>
        <v>https://www.oberhausen.de/de/index.php</v>
      </c>
      <c r="H505" t="inlineStr">
        <is>
          <t>奥伯豪森是德国鲁尔区工业成功转型的典范城市，以前工业时代的巨型煤气罐改造为世界级文化展览空间而闻名，与欧洲著名的CentrO购物休闲中心共同构成了城市的文化与商业双引擎。如今，它不仅是吸引数百万游客的体验之都，也是能源巨头E.ON总部所在地和重要的物流枢纽，完美融合了工业遗产、现代艺术与创新经济。</t>
        </is>
      </c>
      <c r="I505" t="inlineStr">
        <is>
          <t>Desbina Kallinikidou</t>
        </is>
      </c>
      <c r="J505" t="inlineStr">
        <is>
          <t>国际关系/友好城市联系人</t>
        </is>
      </c>
      <c r="K505"/>
      <c r="L505" s="2" t="str">
        <f>=HYPERLINK("mailto:desbina.kallinikidou@oberhausen.de", "desbina.kallinikidou@oberhausen.de")</f>
        <v>desbina.kallinikidou@oberhausen.de</v>
      </c>
      <c r="M505" t="inlineStr">
        <is>
          <t>0208 825-2708</t>
        </is>
      </c>
      <c r="N505" s="3">
        <v>46048</v>
      </c>
      <c r="O505" t="inlineStr">
        <is>
          <t>已联系未回复</t>
        </is>
      </c>
      <c r="P505"/>
      <c r="Q505" t="inlineStr">
        <is>
          <t>昆山友好城市-德国-鲁尔工业园区附近</t>
        </is>
      </c>
      <c r="R505"/>
      <c r="S505"/>
      <c r="T505"/>
    </row>
    <row r="506" ht="25.5" customHeight="1">
      <c r="A506" t="inlineStr">
        <is>
          <t>哈姆/Hamm</t>
        </is>
      </c>
      <c r="B506" t="inlineStr">
        <is>
          <t>德国</t>
        </is>
      </c>
      <c r="C506" t="inlineStr">
        <is>
          <t>哈姆</t>
        </is>
      </c>
      <c r="D506" t="inlineStr">
        <is>
          <t>政府</t>
        </is>
      </c>
      <c r="E506" t="inlineStr">
        <is>
          <t>政府</t>
        </is>
      </c>
      <c r="F506" t="inlineStr">
        <is>
          <t>特奥多尔·豪斯广场 16 号，
59065 哈姆</t>
        </is>
      </c>
      <c r="G506" s="2" t="str">
        <f>=HYPERLINK("https://www.hamm.de/startseite", "https://www.hamm.de/startseite")</f>
        <v>https://www.hamm.de/startseite</v>
      </c>
      <c r="H506" t="inlineStr">
        <is>
          <t>哈姆位于德国北莱茵-威斯特法伦州，是一个以铁路交通和物流枢纽为主的工业城市。该市是欧洲最重要的铁路编组站之一，其物流和交通产业发达，同时也在城市转型中发展了生态观光，如著名的玻璃大象地标。</t>
        </is>
      </c>
      <c r="I506" t="inlineStr">
        <is>
          <t>Herr Hülsmann</t>
        </is>
      </c>
      <c r="J506"/>
      <c r="K506"/>
      <c r="L506" s="2" t="str">
        <f>=HYPERLINK("mailto:huelsmann@stadt.hamm.de", "huelsmann@stadt.hamm.de")</f>
        <v>huelsmann@stadt.hamm.de</v>
      </c>
      <c r="M506"/>
      <c r="N506" s="3">
        <v>46058</v>
      </c>
      <c r="O506" t="inlineStr">
        <is>
          <t>拒绝</t>
        </is>
      </c>
      <c r="P506" t="inlineStr">
        <is>
          <t>表示两个城市之间建立新的友好城市关系尚无足够契机</t>
        </is>
      </c>
      <c r="Q506" t="inlineStr">
        <is>
          <t>昆山友好城市-德国-鲁尔工业园区附近</t>
        </is>
      </c>
      <c r="R506"/>
      <c r="S506"/>
      <c r="T506"/>
    </row>
    <row r="507" ht="25.5" customHeight="1">
      <c r="A507" t="inlineStr">
        <is>
          <t>米尔海姆/Mülheim an der Ruhr</t>
        </is>
      </c>
      <c r="B507" t="inlineStr">
        <is>
          <t>德国</t>
        </is>
      </c>
      <c r="C507" t="inlineStr">
        <is>
          <t>米尔海姆</t>
        </is>
      </c>
      <c r="D507" t="inlineStr">
        <is>
          <t>政府</t>
        </is>
      </c>
      <c r="E507" t="inlineStr">
        <is>
          <t>政府</t>
        </is>
      </c>
      <c r="F507" t="inlineStr">
        <is>
          <t>市政厅大街 1 号，穆尔海姆（鲁尔河畔），45468</t>
        </is>
      </c>
      <c r="G507" s="2" t="str">
        <f>=HYPERLINK("https://cms.muelheim-ruhr.de/", "https://cms.muelheim-ruhr.de/")</f>
        <v>https://cms.muelheim-ruhr.de/</v>
      </c>
      <c r="H507" t="inlineStr">
        <is>
          <t>米尔海姆位于德国北莱茵-威斯特法伦州，是一个以能源经济和服务业为主的工商业城市。该市是鲁尔区的商业与购物中心之一，许多重要的能源企业和零售集团在此设立总部，同时凭借鲁尔河的优美环境，也以“绿色城市”著称。</t>
        </is>
      </c>
      <c r="I507" t="inlineStr">
        <is>
          <t>Alexandra Taulien</t>
        </is>
      </c>
      <c r="J507"/>
      <c r="K507"/>
      <c r="L507" s="2" t="str">
        <f>=HYPERLINK("mailto:Alexandra.Taulien@muelheim-ruhr.de", "Alexandra.Taulien@muelheim-ruhr.de")</f>
        <v>Alexandra.Taulien@muelheim-ruhr.de</v>
      </c>
      <c r="M507" t="inlineStr">
        <is>
          <t>0208 / 455 0</t>
        </is>
      </c>
      <c r="N507" s="3">
        <v>46058</v>
      </c>
      <c r="O507" t="inlineStr">
        <is>
          <t>已联系未回复</t>
        </is>
      </c>
      <c r="P507"/>
      <c r="Q507" t="inlineStr">
        <is>
          <t>昆山友好城市-德国-鲁尔工业园区附近</t>
        </is>
      </c>
      <c r="R507"/>
      <c r="S507"/>
      <c r="T507"/>
    </row>
    <row r="508" ht="25.5" customHeight="1">
      <c r="A508" t="inlineStr">
        <is>
          <t>赫恩/Herne</t>
        </is>
      </c>
      <c r="B508" t="inlineStr">
        <is>
          <t>德国</t>
        </is>
      </c>
      <c r="C508" t="inlineStr">
        <is>
          <t>赫恩</t>
        </is>
      </c>
      <c r="D508" t="inlineStr">
        <is>
          <t>政府</t>
        </is>
      </c>
      <c r="E508" t="inlineStr">
        <is>
          <t>政府</t>
        </is>
      </c>
      <c r="F508" t="inlineStr">
        <is>
          <t>弗里德里希·艾伯特广场 2 号
44623 赫尔讷市</t>
        </is>
      </c>
      <c r="G508" s="2" t="str">
        <f>=HYPERLINK("https://www.herne.de/", "https://www.herne.de/")</f>
        <v>https://www.herne.de/</v>
      </c>
      <c r="H508" t="inlineStr">
        <is>
          <t>赫恩位于德国北莱茵-威斯特法伦州，是一个以矿业历史和工业文化为主的转型城市。该市是鲁尔区工业遗产保护与再利用的重要基地，许多与矿业历史相关的博物馆和文化活动在此举行，同时也在积极发展科技与服务业。
</t>
        </is>
      </c>
      <c r="I508" t="inlineStr">
        <is>
          <t>ratsangelegenheiten@herne.de</t>
        </is>
      </c>
      <c r="J508"/>
      <c r="K508"/>
      <c r="L508" s="2" t="str">
        <f>=HYPERLINK("mailto:ratsangelegenheiten@herne.de", "ratsangelegenheiten@herne.de")</f>
        <v>ratsangelegenheiten@herne.de</v>
      </c>
      <c r="M508" t="inlineStr">
        <is>
          <t>0 23 23 / 16 - 0</t>
        </is>
      </c>
      <c r="N508" s="3">
        <v>46058</v>
      </c>
      <c r="O508" t="inlineStr">
        <is>
          <t>已联系未回复</t>
        </is>
      </c>
      <c r="P508"/>
      <c r="Q508" t="inlineStr">
        <is>
          <t>昆山友好城市-德国-鲁尔工业园区附近</t>
        </is>
      </c>
      <c r="R508"/>
      <c r="S508"/>
      <c r="T508"/>
    </row>
    <row r="509" ht="25.5" customHeight="1">
      <c r="A509" t="inlineStr">
        <is>
          <t>博特罗普/Bottrop</t>
        </is>
      </c>
      <c r="B509" t="inlineStr">
        <is>
          <t>德国</t>
        </is>
      </c>
      <c r="C509" t="inlineStr">
        <is>
          <t>博特罗普</t>
        </is>
      </c>
      <c r="D509" t="inlineStr">
        <is>
          <t>政府</t>
        </is>
      </c>
      <c r="E509" t="inlineStr">
        <is>
          <t>政府</t>
        </is>
      </c>
      <c r="F509" t="inlineStr">
        <is>
          <t>恩斯特·维尔佐克广场 1,
46236 博特罗普</t>
        </is>
      </c>
      <c r="G509" s="2" t="str">
        <f>=HYPERLINK("https://www.bottrop.de/", "https://www.bottrop.de/")</f>
        <v>https://www.bottrop.de/</v>
      </c>
      <c r="H509" t="inlineStr">
        <is>
          <t>博特罗普位于德国北莱茵-威斯特法伦州，是一个以先锋建筑和主题娱乐为主的特色城市。该市是艺术与建筑实验的重要基地，拥有如巨型四面体等独特地标，同时电影公园博特罗普也是该地区主要的休闲娱乐目的地。</t>
        </is>
      </c>
      <c r="I509" t="inlineStr">
        <is>
          <t>Ute Schimmang</t>
        </is>
      </c>
      <c r="J509"/>
      <c r="K509"/>
      <c r="L509" s="2" t="str">
        <f>=HYPERLINK("mailto:ute.schimmang@bottrop.de", "ute.schimmang@bottrop.de")</f>
        <v>ute.schimmang@bottrop.de</v>
      </c>
      <c r="M509"/>
      <c r="N509" s="3">
        <v>46058</v>
      </c>
      <c r="O509" t="inlineStr">
        <is>
          <t>已联系未回复</t>
        </is>
      </c>
      <c r="P509"/>
      <c r="Q509" t="inlineStr">
        <is>
          <t>昆山友好城市-德国-鲁尔工业园区附近</t>
        </is>
      </c>
      <c r="R509"/>
      <c r="S509"/>
      <c r="T509"/>
    </row>
    <row r="510" ht="25.5" customHeight="1">
      <c r="A510" t="inlineStr">
        <is>
          <t>韦滕/witten</t>
        </is>
      </c>
      <c r="B510" t="inlineStr">
        <is>
          <t>德国</t>
        </is>
      </c>
      <c r="C510" t="inlineStr">
        <is>
          <t>韦滕</t>
        </is>
      </c>
      <c r="D510" t="inlineStr">
        <is>
          <t>政府</t>
        </is>
      </c>
      <c r="E510" t="inlineStr">
        <is>
          <t>政府</t>
        </is>
      </c>
      <c r="F510" t="inlineStr">
        <is>
          <t>市场街16号
58452 威滕</t>
        </is>
      </c>
      <c r="G510" s="2" t="str">
        <f>=HYPERLINK("https://www.witten.de/", "https://www.witten.de/")</f>
        <v>https://www.witten.de/</v>
      </c>
      <c r="H510" t="inlineStr">
        <is>
          <t>韦滕位于德国北莱茵-威斯特法伦州，是一个以学术研究和历史遗产为主的城市。该市是鲁尔大学的重要校区所在地，拥有浓厚的科研与教育氛围，同时其保存完好的老城区和别墅区展现了丰富的历史风貌。</t>
        </is>
      </c>
      <c r="I510"/>
      <c r="J510"/>
      <c r="K510"/>
      <c r="L510" s="2" t="str">
        <f>=HYPERLINK("mailto:poststelle@stadt-witten.de", "poststelle@stadt-witten.de")</f>
        <v>poststelle@stadt-witten.de</v>
      </c>
      <c r="M510" t="inlineStr">
        <is>
          <t>0 23 02 / 58 10</t>
        </is>
      </c>
      <c r="N510" s="3">
        <v>46058</v>
      </c>
      <c r="O510" t="inlineStr">
        <is>
          <t>已联系未回复</t>
        </is>
      </c>
      <c r="P510"/>
      <c r="Q510" t="inlineStr">
        <is>
          <t>昆山友好城市-德国-鲁尔工业园区附近</t>
        </is>
      </c>
      <c r="R510"/>
      <c r="S510"/>
      <c r="T510"/>
    </row>
    <row r="511" ht="25.5" customHeight="1">
      <c r="A511" t="inlineStr">
        <is>
          <t>卡斯特罗普-劳克瑟尔/Castrop-Rauxel</t>
        </is>
      </c>
      <c r="B511" t="inlineStr">
        <is>
          <t>德国</t>
        </is>
      </c>
      <c r="C511" t="inlineStr">
        <is>
          <t>卡斯特罗普-劳克瑟尔</t>
        </is>
      </c>
      <c r="D511" t="inlineStr">
        <is>
          <t>政府</t>
        </is>
      </c>
      <c r="E511" t="inlineStr">
        <is>
          <t>政府</t>
        </is>
      </c>
      <c r="F511" t="inlineStr">
        <is>
          <t>卡斯特罗普-劳克塞尔市
欧罗巴广场 1 号
44575 卡斯特罗普-劳克塞尔</t>
        </is>
      </c>
      <c r="G511" s="2" t="str">
        <f>=HYPERLINK("https://www.castrop-rauxel.de/", "https://www.castrop-rauxel.de/")</f>
        <v>https://www.castrop-rauxel.de/</v>
      </c>
      <c r="H511" t="inlineStr">
        <is>
          <t>卡斯特罗普-劳克瑟尔位于德国北莱茵-威斯特法伦州，是一个以能源转型和乡村休闲为主的混合型城市。该市是从传统煤矿向可再生能源景观转变的典型代表，风力发电机与工业遗迹并存，同时其广阔的公园和庄园提供了优质的休闲空间。</t>
        </is>
      </c>
      <c r="I511"/>
      <c r="J511"/>
      <c r="K511"/>
      <c r="L511" s="2" t="str">
        <f>=HYPERLINK("http://buergermeister@castrop-rauxel.de", "buergermeister@castrop-rauxel.de")</f>
        <v>buergermeister@castrop-rauxel.de</v>
      </c>
      <c r="M511" t="inlineStr">
        <is>
          <t>02305-106-0</t>
        </is>
      </c>
      <c r="N511" s="3">
        <v>46058</v>
      </c>
      <c r="O511" t="inlineStr">
        <is>
          <t>已联系未回复</t>
        </is>
      </c>
      <c r="P511"/>
      <c r="Q511" t="inlineStr">
        <is>
          <t>昆山友好城市-德国-鲁尔工业园区附近</t>
        </is>
      </c>
      <c r="R511"/>
      <c r="S511"/>
      <c r="T511"/>
    </row>
    <row r="512" ht="25.5" customHeight="1">
      <c r="A512" t="inlineStr">
        <is>
          <t>绿色经济与气候合作协会 /Réseau Action Climat France</t>
        </is>
      </c>
      <c r="B512" t="inlineStr">
        <is>
          <t>法国</t>
        </is>
      </c>
      <c r="C512" t="inlineStr">
        <is>
          <t>蒙特勒伊市</t>
        </is>
      </c>
      <c r="D512" t="inlineStr">
        <is>
          <t>协会</t>
        </is>
      </c>
      <c r="E512" t="inlineStr">
        <is>
          <t>环境保护</t>
        </is>
      </c>
      <c r="F512" t="inlineStr">
        <is>
          <t>法国蒙特勒伊市 93100
巴斯德大街 47 号</t>
        </is>
      </c>
      <c r="G512" s="2" t="str">
        <f>=HYPERLINK("https://reseauactionclimat.org/", "https://reseauactionclimat.org/")</f>
        <v>https://reseauactionclimat.org/</v>
      </c>
      <c r="H512" t="inlineStr">
        <is>
          <t>作为法国领先的气候行动网络联盟，该协会联合了20余家环保组织，专注于推动气候政策与绿色经济转型。通过研究倡导、公众动员及跨领域合作，其核心目标是促进法国及欧盟落实碳中和战略，将气候行动融入能源、交通、农业等关键领域，助力社会公平转型。</t>
        </is>
      </c>
      <c r="I512" t="inlineStr">
        <is>
          <t>Vincent Brossel</t>
        </is>
      </c>
      <c r="J512" t="inlineStr">
        <is>
          <t>媒体传播主管</t>
        </is>
      </c>
      <c r="K512"/>
      <c r="L512" s="2" t="str">
        <f>=HYPERLINK("mailto:vincent.brossel@reseauactionclimat.org", "vincent.brossel@reseauactionclimat.org")</f>
        <v>vincent.brossel@reseauactionclimat.org</v>
      </c>
      <c r="M512" t="inlineStr">
        <is>
          <t>06 74 95 87 11</t>
        </is>
      </c>
      <c r="N512" s="3">
        <v>46058</v>
      </c>
      <c r="O512" t="inlineStr">
        <is>
          <t>已联系未回复</t>
        </is>
      </c>
      <c r="P512"/>
      <c r="Q512" t="inlineStr">
        <is>
          <t>上海环境保护协会-法国奥地利</t>
        </is>
      </c>
      <c r="R512"/>
      <c r="S512"/>
      <c r="T512"/>
    </row>
    <row r="513" ht="25.5" customHeight="1">
      <c r="A513" t="inlineStr">
        <is>
          <t>法国自然环境协会/France Nature Environnement</t>
        </is>
      </c>
      <c r="B513" t="inlineStr">
        <is>
          <t>法国</t>
        </is>
      </c>
      <c r="C513" t="inlineStr">
        <is>
          <t>巴黎</t>
        </is>
      </c>
      <c r="D513" t="inlineStr">
        <is>
          <t>协会</t>
        </is>
      </c>
      <c r="E513" t="inlineStr">
        <is>
          <t>环境保护</t>
        </is>
      </c>
      <c r="F513" t="inlineStr">
        <is>
          <t>贝日河岸下街2号
75013 巴黎13区
法国</t>
        </is>
      </c>
      <c r="G513" s="2" t="str">
        <f>=HYPERLINK("https://fne.asso.fr/", "https://fne.asso.fr/")</f>
        <v>https://fne.asso.fr/</v>
      </c>
      <c r="H513" t="inlineStr">
        <is>
          <t>法国规模最大、历史最悠久的环保联合会，汇聚近3500个地方环保组织。协会以保护生物多样性、推动可持续发展为核心，通过法律倡导、科学调研和公众教育，深入参与水资源管理、污染防治、自然遗产保护等议题，致力于构建人与自然共生的未来。</t>
        </is>
      </c>
      <c r="I513"/>
      <c r="J513"/>
      <c r="K513"/>
      <c r="L513" s="2" t="str">
        <f>=HYPERLINK("mailto:information@fne.asso.fr", "information@fne.asso.fr")</f>
        <v>information@fne.asso.fr</v>
      </c>
      <c r="M513" t="inlineStr">
        <is>
          <t>09 88 19 55 80</t>
        </is>
      </c>
      <c r="N513" s="3"/>
      <c r="O513" t="inlineStr">
        <is>
          <t>未联系</t>
        </is>
      </c>
      <c r="P513"/>
      <c r="Q513" t="inlineStr">
        <is>
          <t>上海环境保护协会-法国奥地利</t>
        </is>
      </c>
      <c r="R513"/>
      <c r="S513"/>
      <c r="T513"/>
    </row>
    <row r="514" ht="25.5" customHeight="1">
      <c r="A514" t="inlineStr">
        <is>
          <t>法中环保文化促进会/TESFEC</t>
        </is>
      </c>
      <c r="B514" t="inlineStr">
        <is>
          <t>法国</t>
        </is>
      </c>
      <c r="C514" t="inlineStr">
        <is>
          <t>南泰尔</t>
        </is>
      </c>
      <c r="D514" t="inlineStr">
        <is>
          <t>协会</t>
        </is>
      </c>
      <c r="E514" t="inlineStr">
        <is>
          <t>环境保护</t>
        </is>
      </c>
      <c r="F514" t="inlineStr">
        <is>
          <t>香水师巷75号
92000 南泰尔
法国</t>
        </is>
      </c>
      <c r="G514" s="2" t="str">
        <f>=HYPERLINK("https://www.tesfec.com/", "https://www.tesfec.com/")</f>
        <v>https://www.tesfec.com/</v>
      </c>
      <c r="H514" t="inlineStr">
        <is>
          <t>专注于中法两国环保与文化交流的非营利组织。通过技术研讨会、文化项目及政策对话，促进双方在循环经济、生态城市、低碳技术等领域的经验共享。其工作强调“环保即文化”，旨在以人文视角推动绿色实践的国际合作。</t>
        </is>
      </c>
      <c r="I514"/>
      <c r="J514"/>
      <c r="K514"/>
      <c r="L514" s="2" t="str">
        <f>=HYPERLINK("http://tesfec@outlook.com", "tesfec@outlook.com")</f>
        <v>tesfec@outlook.com</v>
      </c>
      <c r="M514"/>
      <c r="N514" s="3"/>
      <c r="O514" t="inlineStr">
        <is>
          <t>未联系</t>
        </is>
      </c>
      <c r="P514"/>
      <c r="Q514" t="inlineStr">
        <is>
          <t>上海环境保护协会-法国奥地利</t>
        </is>
      </c>
      <c r="R514"/>
      <c r="S514"/>
      <c r="T514"/>
    </row>
    <row r="515" ht="25.5" customHeight="1">
      <c r="A515" t="inlineStr">
        <is>
          <t>阿尔特-勃艮第-弗朗什-孔泰大区环境能源署-Alterre Bourgogne-Franche-Comté</t>
        </is>
      </c>
      <c r="B515" t="inlineStr">
        <is>
          <t>法国</t>
        </is>
      </c>
      <c r="C515" t="inlineStr">
        <is>
          <t>第戎市</t>
        </is>
      </c>
      <c r="D515" t="inlineStr">
        <is>
          <t>协会</t>
        </is>
      </c>
      <c r="E515" t="inlineStr">
        <is>
          <t>环境保护</t>
        </is>
      </c>
      <c r="F515" t="inlineStr">
        <is>
          <t>法国第戎市
皮埃尔·拉克鲁特小径2号
拉布尔东纳里园区</t>
        </is>
      </c>
      <c r="G515" s="2" t="str">
        <f>=HYPERLINK("https://www.alterrebourgognefranchecomte.org/", "https://www.alterrebourgognefranchecomte.org/")</f>
        <v>https://www.alterrebourgognefranchecomte.org/</v>
      </c>
      <c r="H515" t="inlineStr">
        <is>
          <t>法国大区级权威环境能源机构，负责推动地方可持续发展与能源转型。通过提供技术咨询、政策分析和项目资助，协助地方政府、企业及社区实施气候适应、可再生能源、生态农业等实践，强化区域韧性与资源循环利用。</t>
        </is>
      </c>
      <c r="I515"/>
      <c r="J515"/>
      <c r="K515"/>
      <c r="L515" s="2" t="str">
        <f>=HYPERLINK("http://在线联系表格：https://www.alterrebourgognefranchecomte.org/qui-sommes-nous-/contact", "在线联系表格：https://www.alterrebourgognefranchecomte.org/qui-sommes-nous-/contact")</f>
        <v>在线联系表格：https://www.alterrebourgognefranchecomte.org/qui-sommes-nous-/contact</v>
      </c>
      <c r="M515"/>
      <c r="N515" s="3"/>
      <c r="O515" t="inlineStr">
        <is>
          <t>未联系</t>
        </is>
      </c>
      <c r="P515"/>
      <c r="Q515" t="inlineStr">
        <is>
          <t>上海环境保护协会-法国奥地利</t>
        </is>
      </c>
      <c r="R515"/>
      <c r="S515"/>
      <c r="T515"/>
    </row>
    <row r="516" ht="25.5" customHeight="1">
      <c r="A516" t="inlineStr">
        <is>
          <t>法国零废弃协会/Zero Waste France</t>
        </is>
      </c>
      <c r="B516" t="inlineStr">
        <is>
          <t>法国</t>
        </is>
      </c>
      <c r="C516" t="inlineStr">
        <is>
          <t>巴黎</t>
        </is>
      </c>
      <c r="D516" t="inlineStr">
        <is>
          <t>协会</t>
        </is>
      </c>
      <c r="E516" t="inlineStr">
        <is>
          <t>环境保护</t>
        </is>
      </c>
      <c r="F516" t="inlineStr">
        <is>
          <t>法国巴黎12区
埃玛·卡尔维通道1号</t>
        </is>
      </c>
      <c r="G516" s="2" t="str">
        <f>=HYPERLINK("https://www.zerowastefrance.org/", "https://www.zerowastefrance.org/")</f>
        <v>https://www.zerowastefrance.org/</v>
      </c>
      <c r="H516" t="inlineStr">
        <is>
          <t>以“零废弃”为核心理念的先锋环保组织，致力于从源头减少垃圾产生、推动循环经济转型。通过公众倡导、企业合作及政策游说，聚焦塑料污染、包装改革、废弃物立法等议题，倡导系统性解决方案以实现资源闭环。</t>
        </is>
      </c>
      <c r="I516"/>
      <c r="J516"/>
      <c r="K516"/>
      <c r="L516" s="2" t="str">
        <f>=HYPERLINK("http://在线联系表格：https://www.zerowastefrance.org/contact/", "在线联系表格：https://www.zerowastefrance.org/contact/")</f>
        <v>在线联系表格：https://www.zerowastefrance.org/contact/</v>
      </c>
      <c r="M516"/>
      <c r="N516" s="3"/>
      <c r="O516" t="inlineStr">
        <is>
          <t>未联系</t>
        </is>
      </c>
      <c r="P516"/>
      <c r="Q516" t="inlineStr">
        <is>
          <t>上海环境保护协会-法国奥地利</t>
        </is>
      </c>
      <c r="R516"/>
      <c r="S516"/>
      <c r="T516"/>
    </row>
    <row r="517" ht="25.5" customHeight="1">
      <c r="A517" t="inlineStr">
        <is>
          <t>法国威立雅集团/Veolia</t>
        </is>
      </c>
      <c r="B517" t="inlineStr">
        <is>
          <t>法国</t>
        </is>
      </c>
      <c r="C517" t="inlineStr">
        <is>
          <t>巴黎</t>
        </is>
      </c>
      <c r="D517" t="inlineStr">
        <is>
          <t>公司</t>
        </is>
      </c>
      <c r="E517" t="inlineStr">
        <is>
          <t>环境保护</t>
        </is>
      </c>
      <c r="F517" t="inlineStr">
        <is>
          <t>拉布埃西街21号
75008 巴黎8区
法国</t>
        </is>
      </c>
      <c r="G517" s="2" t="str">
        <f>=HYPERLINK("https://www.veolia.com/fr/groupe/veolia-en-bref", "https://www.veolia.com/fr/groupe/veolia-en-bref")</f>
        <v>https://www.veolia.com/fr/groupe/veolia-en-bref</v>
      </c>
      <c r="H517" t="inlineStr">
        <is>
          <t>全球生态转型标杆企业，业务涵盖水资源管理、废弃物处理及能源服务三大领域。通过创新技术将废水、垃圾转化为可再生能源或再生材料，助力城市与企业实现资源循环，其“生态转型”战略旨在平衡经济发展与环境保护。</t>
        </is>
      </c>
      <c r="I517"/>
      <c r="J517"/>
      <c r="K517"/>
      <c r="L517" s="2" t="str">
        <f>=HYPERLINK("http://在线联系表格：https://www.veolia.fr/nous-contacter", "在线联系表格：https://www.veolia.fr/nous-contacter")</f>
        <v>在线联系表格：https://www.veolia.fr/nous-contacter</v>
      </c>
      <c r="M517"/>
      <c r="N517" s="3"/>
      <c r="O517" t="inlineStr">
        <is>
          <t>未联系</t>
        </is>
      </c>
      <c r="P517"/>
      <c r="Q517" t="inlineStr">
        <is>
          <t>上海环境保护协会-法国奥地利</t>
        </is>
      </c>
      <c r="R517"/>
      <c r="S517"/>
      <c r="T517"/>
    </row>
    <row r="518" ht="25.5" customHeight="1">
      <c r="A518" t="inlineStr">
        <is>
          <t>苏伊士集团/SUEZ group</t>
        </is>
      </c>
      <c r="B518" t="inlineStr">
        <is>
          <t>法国</t>
        </is>
      </c>
      <c r="C518" t="inlineStr">
        <is>
          <t>皮托市</t>
        </is>
      </c>
      <c r="D518" t="inlineStr">
        <is>
          <t>公司</t>
        </is>
      </c>
      <c r="E518" t="inlineStr">
        <is>
          <t>环境保护</t>
        </is>
      </c>
      <c r="F518" t="inlineStr">
        <is>
          <t>金字塔广场4号
92800 皮托市
法国</t>
        </is>
      </c>
      <c r="G518" s="2" t="str">
        <f>=HYPERLINK("https://www.suez.com/", "https://www.suez.com/")</f>
        <v>https://www.suez.com/</v>
      </c>
      <c r="H518" t="inlineStr">
        <is>
          <t>全球环境服务领导者，专注于智慧水务、固废资源化及土壤修复。集团以循环经济模式为核心，开发数字化解决方案提升资源效率，帮助工业与城市客户应对水资源短缺、污染治理及气候韧性挑战。</t>
        </is>
      </c>
      <c r="I518"/>
      <c r="J518"/>
      <c r="K518"/>
      <c r="L518" s="2" t="str">
        <f>=HYPERLINK("http://在线联系表格：https://www.suez.com/en/contact", "在线联系表格：https://www.suez.com/en/contact")</f>
        <v>在线联系表格：https://www.suez.com/en/contact</v>
      </c>
      <c r="M518"/>
      <c r="N518" s="3"/>
      <c r="O518" t="inlineStr">
        <is>
          <t>未联系</t>
        </is>
      </c>
      <c r="P518"/>
      <c r="Q518" t="inlineStr">
        <is>
          <t>上海环境保护协会-法国奥地利</t>
        </is>
      </c>
      <c r="R518"/>
      <c r="S518"/>
      <c r="T518"/>
    </row>
    <row r="519" ht="25.5" customHeight="1">
      <c r="A519" t="inlineStr">
        <is>
          <t>施耐德电气/Schneider Electric</t>
        </is>
      </c>
      <c r="B519" t="inlineStr">
        <is>
          <t>法国</t>
        </is>
      </c>
      <c r="C519" t="inlineStr">
        <is>
          <t>吕埃-马尔迈松</t>
        </is>
      </c>
      <c r="D519" t="inlineStr">
        <is>
          <t>公司</t>
        </is>
      </c>
      <c r="E519" t="inlineStr">
        <is>
          <t>环境保护</t>
        </is>
      </c>
      <c r="F519" t="inlineStr">
        <is>
          <t>约瑟夫·莫尼耶街35号
92500 吕埃-马尔迈松
法国</t>
        </is>
      </c>
      <c r="G519" s="2" t="str">
        <f>=HYPERLINK("https://www.se.com/ww/en/about-us/company-mission/", "https://www.se.com/ww/en/about-us/company-mission/")</f>
        <v>https://www.se.com/ww/en/about-us/company-mission/</v>
      </c>
      <c r="H519" t="inlineStr">
        <is>
          <t>能源管理与自动化数字化转型的全球领军企业。通过提供能效优化、微电网、绿色供应链等解决方案，助力工业、建筑及基础设施领域降低碳足迹，其“气候中性供应链”承诺彰显对可持续技术与清洁能源的深耕。</t>
        </is>
      </c>
      <c r="I519"/>
      <c r="J519"/>
      <c r="K519"/>
      <c r="L519" s="2" t="str">
        <f>=HYPERLINK("mailto:customercare.hk@se.com", "customercare.hk@se.com")</f>
        <v>customercare.hk@se.com</v>
      </c>
      <c r="M519"/>
      <c r="N519" s="3"/>
      <c r="O519" t="inlineStr">
        <is>
          <t>未联系</t>
        </is>
      </c>
      <c r="P519"/>
      <c r="Q519" t="inlineStr">
        <is>
          <t>上海环境保护协会-法国奥地利</t>
        </is>
      </c>
      <c r="R519"/>
      <c r="S519"/>
      <c r="T519"/>
    </row>
    <row r="520" ht="25.5" customHeight="1">
      <c r="A520" t="inlineStr">
        <is>
          <t>土地与城市协会/Terre et Cité</t>
        </is>
      </c>
      <c r="B520" t="inlineStr">
        <is>
          <t>法国</t>
        </is>
      </c>
      <c r="C520" t="inlineStr">
        <is>
          <t>伊尼</t>
        </is>
      </c>
      <c r="D520" t="inlineStr">
        <is>
          <t>协会</t>
        </is>
      </c>
      <c r="E520" t="inlineStr">
        <is>
          <t>环境保护</t>
        </is>
      </c>
      <c r="F520" t="inlineStr">
        <is>
          <t>拉萨尔伊尼学校
勒克莱尔师大街10号
91430 – 伊尼</t>
        </is>
      </c>
      <c r="G520" s="2" t="str">
        <f>=HYPERLINK("https://terreetcite.org/", "https://terreetcite.org/")</f>
        <v>https://terreetcite.org/</v>
      </c>
      <c r="H520" t="inlineStr">
        <is>
          <t>聚焦巴黎大区萨克雷高原的城乡共生组织，致力于保护农业用地、促进本地食品短链与城乡对话。通过连接农民、市民与政府，推动生态农业实践、自然景观保护及土地可持续规划，缓解城市扩张对农田与生态的侵蚀。</t>
        </is>
      </c>
      <c r="I520"/>
      <c r="J520"/>
      <c r="K520"/>
      <c r="L520" s="2" t="str">
        <f>=HYPERLINK("http://在线联系表格：https://terreetcite.org/contact/", "在线联系表格：https://terreetcite.org/contact/")</f>
        <v>在线联系表格：https://terreetcite.org/contact/</v>
      </c>
      <c r="M520" t="inlineStr">
        <is>
          <t>01 60 11 33 93</t>
        </is>
      </c>
      <c r="N520" s="3"/>
      <c r="O520" t="inlineStr">
        <is>
          <t>未联系</t>
        </is>
      </c>
      <c r="P520"/>
      <c r="Q520" t="inlineStr">
        <is>
          <t>上海环境保护协会-法国奥地利</t>
        </is>
      </c>
      <c r="R520"/>
      <c r="S520"/>
      <c r="T520"/>
    </row>
    <row r="521" ht="25.5" customHeight="1">
      <c r="A521" t="inlineStr">
        <is>
          <t>道达尔能源/TotalEnergies</t>
        </is>
      </c>
      <c r="B521" t="inlineStr">
        <is>
          <t>法国</t>
        </is>
      </c>
      <c r="C521" t="inlineStr">
        <is>
          <t>巴黎拉德芳斯塞代</t>
        </is>
      </c>
      <c r="D521" t="inlineStr">
        <is>
          <t>公司</t>
        </is>
      </c>
      <c r="E521" t="inlineStr">
        <is>
          <t>环境保护</t>
        </is>
      </c>
      <c r="F521" t="inlineStr">
        <is>
          <t>法国巴黎拉德芳斯
让·米利耶广场2号（拉德芳斯6区）
92078 巴黎拉德芳斯塞代</t>
        </is>
      </c>
      <c r="G521" s="2" t="str">
        <f>=HYPERLINK("https://services.totalenergies.fr/", "https://services.totalenergies.fr/")</f>
        <v>https://services.totalenergies.fr/</v>
      </c>
      <c r="H521" t="inlineStr">
        <is>
          <t>国际能源巨头加速向多元化能源转型，战略重心扩展至可再生能源（太阳能、风能）、生物燃料及低碳电力。尽管传统油气业务仍占部分比重，公司通过投资绿氢、碳捕集等技术，承诺2050年实现碳中和目标。</t>
        </is>
      </c>
      <c r="I521"/>
      <c r="J521"/>
      <c r="K521"/>
      <c r="L521" s="2" t="str">
        <f>=HYPERLINK("http://在线联系表格：https://services.totalenergies.fr/contact-et-faq/formulaire/compagnie-en", "在线联系表格：https://services.totalenergies.fr/contact-et-faq/formulaire/compagnie-en")</f>
        <v>在线联系表格：https://services.totalenergies.fr/contact-et-faq/formulaire/compagnie-en</v>
      </c>
      <c r="M521"/>
      <c r="N521" s="3"/>
      <c r="O521" t="inlineStr">
        <is>
          <t>未联系</t>
        </is>
      </c>
      <c r="P521"/>
      <c r="Q521" t="inlineStr">
        <is>
          <t>上海环境保护协会-法国奥地利</t>
        </is>
      </c>
      <c r="R521"/>
      <c r="S521"/>
      <c r="T521"/>
    </row>
    <row r="522" ht="25.5" customHeight="1">
      <c r="A522" t="inlineStr">
        <is>
          <t>巴斯夫法国公司/BASF France</t>
        </is>
      </c>
      <c r="B522" t="inlineStr">
        <is>
          <t>法国</t>
        </is>
      </c>
      <c r="C522" t="inlineStr">
        <is>
          <t>勒瓦卢瓦-佩雷</t>
        </is>
      </c>
      <c r="D522" t="inlineStr">
        <is>
          <t>公司</t>
        </is>
      </c>
      <c r="E522" t="inlineStr">
        <is>
          <t>环境保护</t>
        </is>
      </c>
      <c r="F522" t="inlineStr">
        <is>
          <t>乔治·蓬皮杜大街49号
92300 勒瓦卢瓦-佩雷
法国</t>
        </is>
      </c>
      <c r="G522" s="2" t="str">
        <f>=HYPERLINK("https://www.basf.com/fr/fr", "https://www.basf.com/fr/fr")</f>
        <v>https://www.basf.com/fr/fr</v>
      </c>
      <c r="H522" t="inlineStr">
        <is>
          <t>全球化工龙头巴斯夫的法国分支，积极推动“循环经济”与绿色化学创新。通过研发生物基材料、可降解塑料及低碳生产工艺，助力汽车、建筑、农业等行业减少环境足迹，同时强化化学品安全与资源效率管理。</t>
        </is>
      </c>
      <c r="I522"/>
      <c r="J522"/>
      <c r="K522"/>
      <c r="L522" s="2" t="str">
        <f>=HYPERLINK("http://在线联系表格：https://www.basf.com/global/en/legal/contact#01-133915167", "在线联系表格：https://www.basf.com/global/en/legal/contact#01-133915167")</f>
        <v>在线联系表格：https://www.basf.com/global/en/legal/contact#01-133915167</v>
      </c>
      <c r="M522" t="inlineStr">
        <is>
          <t>+33149645000</t>
        </is>
      </c>
      <c r="N522" s="3"/>
      <c r="O522" t="inlineStr">
        <is>
          <t>未联系</t>
        </is>
      </c>
      <c r="P522"/>
      <c r="Q522" t="inlineStr">
        <is>
          <t>上海环境保护协会-法国奥地利</t>
        </is>
      </c>
      <c r="R522"/>
      <c r="S522"/>
      <c r="T522"/>
    </row>
    <row r="523" ht="25.5" customHeight="1">
      <c r="A523" t="inlineStr">
        <is>
          <t>气候与清洁空气联盟/Climate &amp; Clean Air Coalition (CCAC)</t>
        </is>
      </c>
      <c r="B523" t="inlineStr">
        <is>
          <t>法国</t>
        </is>
      </c>
      <c r="C523" t="inlineStr">
        <is>
          <t>巴黎</t>
        </is>
      </c>
      <c r="D523" t="inlineStr">
        <is>
          <t>协会</t>
        </is>
      </c>
      <c r="E523" t="inlineStr">
        <is>
          <t>环境保护</t>
        </is>
      </c>
      <c r="F523" t="inlineStr">
        <is>
          <t>法国巴黎15区米奥利斯街1号
邮编：75015</t>
        </is>
      </c>
      <c r="G523" s="2" t="str">
        <f>=HYPERLINK("http://www.ccacoalition.org/", "http://www.ccacoalition.org/")</f>
        <v>http://www.ccacoalition.org/</v>
      </c>
      <c r="H523" t="inlineStr">
        <is>
          <t>由联合国环境规划署牵头成立的全球倡议联盟，聚焦减少短期气候污染物（如甲烷、黑碳、氢氟碳化物）。通过整合政府、科研机构与企业力量，推动政策制定与技术扩散，兼顾减缓气候变暖与改善空气健康的双重目标。</t>
        </is>
      </c>
      <c r="I523"/>
      <c r="J523"/>
      <c r="K523"/>
      <c r="L523" s="2" t="str">
        <f>=HYPERLINK("mailto:secretariat@ccacoalition.org", "secretariat@ccacoalition.org")</f>
        <v>secretariat@ccacoalition.org</v>
      </c>
      <c r="M523" t="inlineStr">
        <is>
          <t>+33626717981</t>
        </is>
      </c>
      <c r="N523" s="3"/>
      <c r="O523" t="inlineStr">
        <is>
          <t>未联系</t>
        </is>
      </c>
      <c r="P523"/>
      <c r="Q523" t="inlineStr">
        <is>
          <t>上海环境保护协会-法国奥地利</t>
        </is>
      </c>
      <c r="R523"/>
      <c r="S523"/>
      <c r="T523"/>
    </row>
    <row r="524" ht="25.5" customHeight="1">
      <c r="A524" t="inlineStr">
        <is>
          <t>奥地利环境保护协会/Umweltdachverband</t>
        </is>
      </c>
      <c r="B524" t="inlineStr">
        <is>
          <t>奥地利</t>
        </is>
      </c>
      <c r="C524" t="inlineStr">
        <is>
          <t>维也纳</t>
        </is>
      </c>
      <c r="D524" t="inlineStr">
        <is>
          <t>协会</t>
        </is>
      </c>
      <c r="E524" t="inlineStr">
        <is>
          <t>环境保护</t>
        </is>
      </c>
      <c r="F524" t="inlineStr">
        <is>
          <t>维也纳德累斯顿大街 82 号 7 楼，1200</t>
        </is>
      </c>
      <c r="G524" s="2" t="str">
        <f>=HYPERLINK("https://www.umweltdachverband.at/", "https://www.umweltdachverband.at/")</f>
        <v>https://www.umweltdachverband.at/</v>
      </c>
      <c r="H524" t="inlineStr">
        <is>
          <t>奥地利环境保护协会总部位于维也纳，是全国性环保组织的最高联合机构。其工作领域广泛覆盖自然保护、气候政策、可持续发展及环境教育等。作为关键的生态倡导平台，它整合了数十家成员组织的专业力量，致力于在立法、社会意识及国际合作层面推动奥地利的环保议程，是连接民间社会与政策制定者的核心桥梁。</t>
        </is>
      </c>
      <c r="I524" t="inlineStr">
        <is>
          <t>Ms.Doris</t>
        </is>
      </c>
      <c r="J524" t="inlineStr">
        <is>
          <t>宣传与企业合作部门</t>
        </is>
      </c>
      <c r="K524"/>
      <c r="L524" s="2" t="str">
        <f>=HYPERLINK("mailto:doris.pennetzdorfer@umweltdachverband.at", "doris.pennetzdorfer@umweltdachverband.at")</f>
        <v>doris.pennetzdorfer@umweltdachverband.at</v>
      </c>
      <c r="M524" t="inlineStr">
        <is>
          <t>+43 660 38 47 945</t>
        </is>
      </c>
      <c r="N524" s="3"/>
      <c r="O524" t="inlineStr">
        <is>
          <t>未联系</t>
        </is>
      </c>
      <c r="P524"/>
      <c r="Q524" t="inlineStr">
        <is>
          <t>上海环境保护协会-法国奥地利</t>
        </is>
      </c>
      <c r="R524"/>
      <c r="S524"/>
      <c r="T524"/>
    </row>
    <row r="525" ht="25.5" customHeight="1">
      <c r="A525" t="inlineStr">
        <is>
          <t>奥地利可再生能源协会/Erneuerbare Energie Österreich</t>
        </is>
      </c>
      <c r="B525" t="inlineStr">
        <is>
          <t>奥地利</t>
        </is>
      </c>
      <c r="C525" t="inlineStr">
        <is>
          <t>维也纳</t>
        </is>
      </c>
      <c r="D525" t="inlineStr">
        <is>
          <t>协会</t>
        </is>
      </c>
      <c r="E525" t="inlineStr">
        <is>
          <t>环境保护</t>
        </is>
      </c>
      <c r="F525" t="inlineStr">
        <is>
          <t>维也纳1010，弗朗茨-约瑟夫码头街13/5</t>
        </is>
      </c>
      <c r="G525" s="2" t="str">
        <f>=HYPERLINK("http://www.erneuerbare-energie.at/", "http://www.erneuerbare-energie.at/")</f>
        <v>http://www.erneuerbare-energie.at/</v>
      </c>
      <c r="H525" t="inlineStr">
        <is>
          <t>奥地利可再生能源协会总部设于维也纳，是代表该国可再生能源产业的核心利益集团。其领域全面涵盖水能、风能、太阳能、生物质能等所有可再生能源技术。协会的核心使命是通过政策倡导、市场开发与公众宣传，加速奥地利的能源系统转型，为实现全国性的100%可再生能源供应目标提供关键支持。</t>
        </is>
      </c>
      <c r="I525" t="inlineStr">
        <is>
          <t>Anna Schaubmayr</t>
        </is>
      </c>
      <c r="J525" t="inlineStr">
        <is>
          <t>办公室经理</t>
        </is>
      </c>
      <c r="K525"/>
      <c r="L525" s="2" t="str">
        <f>=HYPERLINK("mailto:anna.schaubmayr@erneuerbare-energie.at", "anna.schaubmayr@erneuerbare-energie.at")</f>
        <v>anna.schaubmayr@erneuerbare-energie.at</v>
      </c>
      <c r="M525"/>
      <c r="N525" s="3"/>
      <c r="O525" t="inlineStr">
        <is>
          <t>未联系</t>
        </is>
      </c>
      <c r="P525"/>
      <c r="Q525" t="inlineStr">
        <is>
          <t>上海环境保护协会-法国奥地利</t>
        </is>
      </c>
      <c r="R525"/>
      <c r="S525"/>
      <c r="T525"/>
    </row>
    <row r="526" ht="25.5" customHeight="1">
      <c r="A526" t="inlineStr">
        <is>
          <t>奥地利循环经济协会/Austrian Recycling Association</t>
        </is>
      </c>
      <c r="B526" t="inlineStr">
        <is>
          <t>奥地利</t>
        </is>
      </c>
      <c r="C526" t="inlineStr">
        <is>
          <t>维也纳</t>
        </is>
      </c>
      <c r="D526" t="inlineStr">
        <is>
          <t>协会</t>
        </is>
      </c>
      <c r="E526" t="inlineStr">
        <is>
          <t>环境保护</t>
        </is>
      </c>
      <c r="F526" t="inlineStr">
        <is>
          <t>维也纳 1010
，维普林格大街 5/8A</t>
        </is>
      </c>
      <c r="G526" s="2" t="str">
        <f>=HYPERLINK("https://austriarecycling.at/", "https://austriarecycling.at/")</f>
        <v>https://austriarecycling.at/</v>
      </c>
      <c r="H526" t="inlineStr">
        <is>
          <t>奥地利循环经济协会活跃于全国，主要致力于推动废弃物管理与资源高效利用领域的转型。其工作聚焦于循环经济战略、废弃物减量化、回收技术创新以及相关标准的制定。协会通过促进企业、市政当局与研究机构的合作，旨在构建系统性解决方案，推动奥地利经济从线性模式向资源闭环的循环模式转变。</t>
        </is>
      </c>
      <c r="I526"/>
      <c r="J526"/>
      <c r="K526"/>
      <c r="L526" s="2" t="str">
        <f>=HYPERLINK("mailto:verein@austriarecycling.at", "verein@austriarecycling.at")</f>
        <v>verein@austriarecycling.at</v>
      </c>
      <c r="M526" t="inlineStr">
        <is>
          <t>+43 1 2145600</t>
        </is>
      </c>
      <c r="N526" s="3"/>
      <c r="O526" t="inlineStr">
        <is>
          <t>未联系</t>
        </is>
      </c>
      <c r="P526"/>
      <c r="Q526" t="inlineStr">
        <is>
          <t>上海环境保护协会-法国奥地利</t>
        </is>
      </c>
      <c r="R526"/>
      <c r="S526"/>
      <c r="T526"/>
    </row>
    <row r="527" ht="25.5" customHeight="1">
      <c r="A527" t="inlineStr">
        <is>
          <t>绿色能源实验室/Green Energy Lab</t>
        </is>
      </c>
      <c r="B527" t="inlineStr">
        <is>
          <t>奥地利</t>
        </is>
      </c>
      <c r="C527" t="inlineStr">
        <is>
          <t>维也纳</t>
        </is>
      </c>
      <c r="D527" t="inlineStr">
        <is>
          <t>实验室</t>
        </is>
      </c>
      <c r="E527" t="inlineStr">
        <is>
          <t>环境保护</t>
        </is>
      </c>
      <c r="F527" t="inlineStr">
        <is>
          <t>绿色能源实验室 – 办公室
维也纳 1030，诺伊灵巷</t>
        </is>
      </c>
      <c r="G527" s="2" t="str">
        <f>=HYPERLINK("https://green-energy-center.com/", "https://green-energy-center.com/")</f>
        <v>https://green-energy-center.com/</v>
      </c>
      <c r="H527" t="inlineStr">
        <is>
          <t>绿色能源实验室位于奥地利东部地区，是奥地利国家旗舰研究项目之一。其核心领域是面向未来的能源系统开发，包括智能电网、大规模储能、可再生能源整合及数字化能源解决方案。作为一个大型实境创新实验室，它通过产学研合作，将前沿技术投入实际测试与规模化应用，为欧洲能源转型提供可复制的示范模型。</t>
        </is>
      </c>
      <c r="I527" t="inlineStr">
        <is>
          <t>Fiona Fleischhacker</t>
        </is>
      </c>
      <c r="J527" t="inlineStr">
        <is>
          <t>团队助理</t>
        </is>
      </c>
      <c r="K527"/>
      <c r="L527" s="2" t="str">
        <f>=HYPERLINK("mailto:fiona.fleischhacker@greenenergylab.at", "fiona.fleischhacker@greenenergylab.at")</f>
        <v>fiona.fleischhacker@greenenergylab.at</v>
      </c>
      <c r="M527" t="inlineStr">
        <is>
          <t>+43 676 372 00 17</t>
        </is>
      </c>
      <c r="N527" s="3"/>
      <c r="O527" t="inlineStr">
        <is>
          <t>未联系</t>
        </is>
      </c>
      <c r="P527"/>
      <c r="Q527" t="inlineStr">
        <is>
          <t>上海环境保护协会-法国奥地利</t>
        </is>
      </c>
      <c r="R527"/>
      <c r="S527"/>
      <c r="T527"/>
    </row>
    <row r="528" ht="25.5" customHeight="1">
      <c r="A528" t="inlineStr">
        <is>
          <t>奥地利石油公司/OMV AG</t>
        </is>
      </c>
      <c r="B528" t="inlineStr">
        <is>
          <t>奥地利</t>
        </is>
      </c>
      <c r="C528" t="inlineStr">
        <is>
          <t>维也纳</t>
        </is>
      </c>
      <c r="D528" t="inlineStr">
        <is>
          <t>公司</t>
        </is>
      </c>
      <c r="E528" t="inlineStr">
        <is>
          <t>环境保护</t>
        </is>
      </c>
      <c r="F528" t="inlineStr">
        <is>
          <t>维也纳 1020特拉布伦大街 6-8 号</t>
        </is>
      </c>
      <c r="G528" s="2" t="str">
        <f>=HYPERLINK("https://www.omv.com/en", "https://www.omv.com/en")</f>
        <v>https://www.omv.com/en</v>
      </c>
      <c r="H528" t="inlineStr">
        <is>
          <t>奥地利石油公司总部位于维也纳，是一家业务遍布全球的综合性能源集团。其传统领域涵盖油气勘探生产、炼油与销售，同时正积极向低碳未来转型，拓展领域包括化工原料回收、生物燃料、蓝氢与绿氢以及碳捕获与封存技术。作为奥地利最大的工业公司，OMV正努力平衡能源安全与气候目标，致力于成为欧洲能源转型的关键参与者。</t>
        </is>
      </c>
      <c r="I528"/>
      <c r="J528"/>
      <c r="K528"/>
      <c r="L528" s="2" t="str">
        <f>=HYPERLINK("mailto:emobility.at@omv.com", "emobility.at@omv.com")</f>
        <v>emobility.at@omv.com</v>
      </c>
      <c r="M528" t="inlineStr">
        <is>
          <t>0800 20 12 88</t>
        </is>
      </c>
      <c r="N528" s="3"/>
      <c r="O528" t="inlineStr">
        <is>
          <t>未联系</t>
        </is>
      </c>
      <c r="P528"/>
      <c r="Q528" t="inlineStr">
        <is>
          <t>上海环境保护协会-法国奥地利</t>
        </is>
      </c>
      <c r="R528"/>
      <c r="S528"/>
      <c r="T528"/>
    </row>
    <row r="529" ht="25.5" customHeight="1">
      <c r="A529" t="inlineStr">
        <is>
          <t>奥地利联合电力公司/Verbund AG</t>
        </is>
      </c>
      <c r="B529" t="inlineStr">
        <is>
          <t>奥地利</t>
        </is>
      </c>
      <c r="C529" t="inlineStr">
        <is>
          <t>维也纳</t>
        </is>
      </c>
      <c r="D529" t="inlineStr">
        <is>
          <t>公司</t>
        </is>
      </c>
      <c r="E529" t="inlineStr">
        <is>
          <t>环境保护</t>
        </is>
      </c>
      <c r="F529" t="inlineStr">
        <is>
          <t>奥地利维也纳第15区，鲁道夫斯海姆-芬夫豪斯区</t>
        </is>
      </c>
      <c r="G529" s="2" t="str">
        <f>=HYPERLINK("https://www.verbund.com/de/privat", "https://www.verbund.com/de/privat")</f>
        <v>https://www.verbund.com/de/privat</v>
      </c>
      <c r="H529" t="inlineStr">
        <is>
          <t>奥地利联合电力公司总部位于维也纳，是奥地利领先的电力生产商和欧洲重要的可再生能源供应商。其业务核心领域是以阿尔卑斯山区为主的水力发电，并积极发展风能、太阳能及电网运营。公司凭借其庞大的绿色电力资产，不仅保障国内供应，还活跃于欧洲电力市场，同时大力投资于抽水蓄能、氢能和数字化电网等未来技术。</t>
        </is>
      </c>
      <c r="I529" t="inlineStr">
        <is>
          <t>Mr. Martin Weikl</t>
        </is>
      </c>
      <c r="J529" t="inlineStr">
        <is>
          <t>高级投资者关系经理</t>
        </is>
      </c>
      <c r="K529"/>
      <c r="L529" s="2" t="str">
        <f>=HYPERLINK("mailto:investor-relations@verbund.com", "investor-relations@verbund.com")</f>
        <v>investor-relations@verbund.com</v>
      </c>
      <c r="M529" t="inlineStr">
        <is>
          <t>+43 50313-52604</t>
        </is>
      </c>
      <c r="N529" s="3"/>
      <c r="O529" t="inlineStr">
        <is>
          <t>未联系</t>
        </is>
      </c>
      <c r="P529"/>
      <c r="Q529" t="inlineStr">
        <is>
          <t>上海环境保护协会-法国奥地利</t>
        </is>
      </c>
      <c r="R529"/>
      <c r="S529"/>
      <c r="T529"/>
    </row>
    <row r="530" ht="25.5" customHeight="1">
      <c r="A530" t="inlineStr">
        <is>
          <t>凯巴公司/Keba AG</t>
        </is>
      </c>
      <c r="B530" t="inlineStr">
        <is>
          <t>奥地利</t>
        </is>
      </c>
      <c r="C530" t="inlineStr">
        <is>
          <t>林茨</t>
        </is>
      </c>
      <c r="D530" t="inlineStr">
        <is>
          <t>公司</t>
        </is>
      </c>
      <c r="E530" t="inlineStr">
        <is>
          <t>环境保护</t>
        </is>
      </c>
      <c r="F530" t="inlineStr">
        <is>
          <t>雷恩德尔大街51号
奥地利林茨4040</t>
        </is>
      </c>
      <c r="G530" s="2" t="str">
        <f>=HYPERLINK("https://www.keba.com/en/energy-automation", "https://www.keba.com/en/energy-automation")</f>
        <v>https://www.keba.com/en/energy-automation</v>
      </c>
      <c r="H530" t="inlineStr">
        <is>
          <t>凯巴公司总部位于上奥地利州林茨市，是一家全球化的自动化和能源技术企业。其核心领域包括工业自动化、电动汽车充电解决方案以及与之相关的能源管理数字化系统。凭借在电动汽车充电硬件和软件领域的深厚技术积累，Keba为全球用户提供从家庭充电到商业运营的智能、互联的充电解决方案，支持绿色交通的普及。</t>
        </is>
      </c>
      <c r="I530"/>
      <c r="J530"/>
      <c r="K530"/>
      <c r="L530" s="2" t="str">
        <f>=HYPERLINK("mailto:keba@keba.com", "keba@keba.com")</f>
        <v>keba@keba.com</v>
      </c>
      <c r="M530" t="inlineStr">
        <is>
          <t>+43 732 7090-0</t>
        </is>
      </c>
      <c r="N530" s="3"/>
      <c r="O530" t="inlineStr">
        <is>
          <t>未联系</t>
        </is>
      </c>
      <c r="P530"/>
      <c r="Q530" t="inlineStr">
        <is>
          <t>上海环境保护协会-法国奥地利</t>
        </is>
      </c>
      <c r="R530"/>
      <c r="S530"/>
      <c r="T530"/>
    </row>
    <row r="531" ht="25.5" customHeight="1">
      <c r="A531" t="inlineStr">
        <is>
          <t>施蒂利亚绿色科技集群/Green Tech Cluster Styria</t>
        </is>
      </c>
      <c r="B531" t="inlineStr">
        <is>
          <t>奥地利</t>
        </is>
      </c>
      <c r="C531" t="inlineStr">
        <is>
          <t>格拉茨</t>
        </is>
      </c>
      <c r="D531" t="inlineStr">
        <is>
          <t>创新集群</t>
        </is>
      </c>
      <c r="E531" t="inlineStr">
        <is>
          <t>环境保护</t>
        </is>
      </c>
      <c r="F531" t="inlineStr">
        <is>
          <t>奥地利 格拉茨 8020 瓦格纳-比罗大街100号</t>
        </is>
      </c>
      <c r="G531" s="2" t="str">
        <f>=HYPERLINK("https://www.greentech.at/", "https://www.greentech.at/")</f>
        <v>https://www.greentech.at/</v>
      </c>
      <c r="H531" t="inlineStr">
        <is>
          <t>施蒂利亚绿色科技集群位于奥地利施蒂利亚州首府格拉茨，是该地区绿色科技产业的创新引擎。其协同创新网络覆盖循环经济、可再生能源、高效能源系统和绿色氢能等关键技术领域。集群通过紧密连接企业、大学和研究机构，加速技术创新与市场化，成功将施蒂利亚州打造为欧洲公认的环保技术研发与产业化高地。</t>
        </is>
      </c>
      <c r="I531"/>
      <c r="J531"/>
      <c r="K531"/>
      <c r="L531" s="2" t="str">
        <f>=HYPERLINK("mailto:welcome@greentech.at", "welcome@greentech.at")</f>
        <v>welcome@greentech.at</v>
      </c>
      <c r="M531" t="inlineStr">
        <is>
          <t>+43 316 40 77 44 -0</t>
        </is>
      </c>
      <c r="N531" s="3"/>
      <c r="O531" t="inlineStr">
        <is>
          <t>未联系</t>
        </is>
      </c>
      <c r="P531"/>
      <c r="Q531" t="inlineStr">
        <is>
          <t>上海环境保护协会-法国奥地利</t>
        </is>
      </c>
      <c r="R531"/>
      <c r="S531"/>
      <c r="T531"/>
    </row>
    <row r="532" ht="25.5" customHeight="1">
      <c r="A532" t="inlineStr">
        <is>
          <t>穆勒废物处理项目有限公司
环境技术工程办公室/Müller Abfallprojekte GmbH
Ingenieurbüro für Umwelttechnik</t>
        </is>
      </c>
      <c r="B532" t="inlineStr">
        <is>
          <t>奥地利</t>
        </is>
      </c>
      <c r="C532" t="inlineStr">
        <is>
          <t>魏伯恩</t>
        </is>
      </c>
      <c r="D532" t="inlineStr">
        <is>
          <t>公司</t>
        </is>
      </c>
      <c r="E532" t="inlineStr">
        <is>
          <t>环境保护</t>
        </is>
      </c>
      <c r="F532" t="inlineStr">
        <is>
          <t>奥地利 魏伯恩 4675 主街34号</t>
        </is>
      </c>
      <c r="G532" s="2" t="str">
        <f>=HYPERLINK("https://www.mueller-umwelttechnik.at/", "https://www.mueller-umwelttechnik.at/")</f>
        <v>https://www.mueller-umwelttechnik.at/</v>
      </c>
      <c r="H532" t="inlineStr">
        <is>
          <t>该公司是一家专注于环境技术的奥地利工程咨询公司，业务遍布全国。其专业领域涵盖废弃物处理项目的整体规划、工程设计及技术实施，特别是在垃圾转化能源、垃圾分类与回收系统方面拥有丰富经验。公司为客户提供从概念设计到项目落地的全周期技术服务，旨在实现废弃物的可持续管理与资源化利用。</t>
        </is>
      </c>
      <c r="I532"/>
      <c r="J532"/>
      <c r="K532"/>
      <c r="L532" s="2" t="str">
        <f>=HYPERLINK("mailto:office@mueller-umwelttechnik.at", "office@mueller-umwelttechnik.at")</f>
        <v>office@mueller-umwelttechnik.at</v>
      </c>
      <c r="M532" t="inlineStr">
        <is>
          <t>+43 (0)7732 2091-0</t>
        </is>
      </c>
      <c r="N532" s="3"/>
      <c r="O532" t="inlineStr">
        <is>
          <t>未联系</t>
        </is>
      </c>
      <c r="P532"/>
      <c r="Q532" t="inlineStr">
        <is>
          <t>上海环境保护协会-法国奥地利</t>
        </is>
      </c>
      <c r="R532"/>
      <c r="S532"/>
      <c r="T532"/>
    </row>
    <row r="533" ht="25.5" customHeight="1">
      <c r="A533" t="inlineStr">
        <is>
          <t>SFC 环境技术有限公司/SFC Umwelttechnik GmbH</t>
        </is>
      </c>
      <c r="B533" t="inlineStr">
        <is>
          <t>奥地利</t>
        </is>
      </c>
      <c r="C533" t="inlineStr">
        <is>
          <t>萨尔茨堡</t>
        </is>
      </c>
      <c r="D533" t="inlineStr">
        <is>
          <t>公司</t>
        </is>
      </c>
      <c r="E533" t="inlineStr">
        <is>
          <t>环境保护</t>
        </is>
      </c>
      <c r="F533" t="inlineStr">
        <is>
          <t>奥地利 萨尔茨堡 5020 尤利乌斯-韦尔瑟街15号</t>
        </is>
      </c>
      <c r="G533" s="2" t="str">
        <f>=HYPERLINK("https://sfcu.at/", "https://sfcu.at/")</f>
        <v>https://sfcu.at/</v>
      </c>
      <c r="H533" t="inlineStr">
        <is>
          <t>SFC环境技术有限公司是一家总部位于奥地利的领先燃料电池技术企业。其核心领域是研发和生产基于直接甲醇燃料电池的离网及移动能源解决方案。产品主要应用于远程监控设备、户外休闲、专业工业及应急电源等领域，为电网无法覆盖或需要清洁、静音、可靠电力的场景提供理想的环保能源选择。</t>
        </is>
      </c>
      <c r="I533"/>
      <c r="J533"/>
      <c r="K533"/>
      <c r="L533" s="2" t="str">
        <f>=HYPERLINK("mailto:office@sfcu.at", "office@sfcu.at")</f>
        <v>office@sfcu.at</v>
      </c>
      <c r="M533" t="inlineStr">
        <is>
          <t>+43 662 43 49 02</t>
        </is>
      </c>
      <c r="N533" s="3"/>
      <c r="O533" t="inlineStr">
        <is>
          <t>未联系</t>
        </is>
      </c>
      <c r="P533"/>
      <c r="Q533" t="inlineStr">
        <is>
          <t>上海环境保护协会-法国奥地利</t>
        </is>
      </c>
      <c r="R533"/>
      <c r="S533"/>
      <c r="T533"/>
    </row>
    <row r="534" ht="25.5" customHeight="1">
      <c r="A534" t="inlineStr">
        <is>
          <t>TePro 环保技术有限公司/TePro Umwelttechnik GmbH</t>
        </is>
      </c>
      <c r="B534" t="inlineStr">
        <is>
          <t>奥地利</t>
        </is>
      </c>
      <c r="C534" t="inlineStr">
        <is>
          <t>菲尔斯滕施泰因</t>
        </is>
      </c>
      <c r="D534" t="inlineStr">
        <is>
          <t>公司</t>
        </is>
      </c>
      <c r="E534" t="inlineStr">
        <is>
          <t>环境保护</t>
        </is>
      </c>
      <c r="F534" t="inlineStr">
        <is>
          <t>罗伊特富特街 3 号
菲尔斯滕施泰因
邮政编码与城镇： 94538</t>
        </is>
      </c>
      <c r="G534" s="2" t="str">
        <f>=HYPERLINK("https://www.tepro-umwelttechnik.de/ueber-uns", "https://www.tepro-umwelttechnik.de/ueber-uns")</f>
        <v>https://www.tepro-umwelttechnik.de/ueber-uns</v>
      </c>
      <c r="H534" t="inlineStr">
        <is>
          <t>TePro环保技术有限公司是一家扎根奥地利、服务于中欧地区的工业环保技术专家。公司专注于为工业企业提供定制化的污染治理解决方案，主要领域包括工业废气净化、废水处理以及土壤修复。通过应用先进的环境技术，TePro帮助客户满足日益严格的环保法规要求，并实现生产过程的生态效益优化。</t>
        </is>
      </c>
      <c r="I534"/>
      <c r="J534"/>
      <c r="K534"/>
      <c r="L534" s="2" t="str">
        <f>=HYPERLINK("mailto:info@tepro-umwelttechnik.de", "info@tepro-umwelttechnik.de")</f>
        <v>info@tepro-umwelttechnik.de</v>
      </c>
      <c r="M534" t="inlineStr">
        <is>
          <t>08544 972 69 69</t>
        </is>
      </c>
      <c r="N534" s="3"/>
      <c r="O534" t="inlineStr">
        <is>
          <t>未联系</t>
        </is>
      </c>
      <c r="P534"/>
      <c r="Q534" t="inlineStr">
        <is>
          <t>上海环境保护协会-法国奥地利</t>
        </is>
      </c>
      <c r="R534"/>
      <c r="S534"/>
      <c r="T534"/>
    </row>
    <row r="535" ht="25.5" customHeight="1">
      <c r="A535" t="inlineStr">
        <is>
          <t>奥地利能源署/Austrian Energy Agency</t>
        </is>
      </c>
      <c r="B535" t="inlineStr">
        <is>
          <t>奥地利</t>
        </is>
      </c>
      <c r="C535" t="inlineStr">
        <is>
          <t>维也纳</t>
        </is>
      </c>
      <c r="D535" t="inlineStr">
        <is>
          <t>协会</t>
        </is>
      </c>
      <c r="E535" t="inlineStr">
        <is>
          <t>环境保护</t>
        </is>
      </c>
      <c r="F535" t="inlineStr">
        <is>
          <t>玛丽亚希尔夫大街 136 号，
1150 维也纳，
奥地利</t>
        </is>
      </c>
      <c r="G535" s="2" t="str">
        <f>=HYPERLINK("https://www.energyagency.at/", "https://www.energyagency.at/")</f>
        <v>https://www.energyagency.at/</v>
      </c>
      <c r="H535" t="inlineStr">
        <is>
          <t>奥地利能源署总部位于维也纳，是奥地利在能源效率和能源转型领域的国家级智库与核心咨询机构。其工作领域包括能源战略研究、能效政策分析、可再生能源整合建模以及国际能源合作项目。能源署为政府、企业和公众提供基于科学研究的决策支持，是推动奥地利实现气候中和目标、塑造未来可持续能源体系的重要知识中心。</t>
        </is>
      </c>
      <c r="I535"/>
      <c r="J535"/>
      <c r="K535"/>
      <c r="L535" s="2" t="str">
        <f>=HYPERLINK("mailto:office@energyagency.at", "office@energyagency.at")</f>
        <v>office@energyagency.at</v>
      </c>
      <c r="M535" t="inlineStr">
        <is>
          <t>+43 1 586 15 24 - 0</t>
        </is>
      </c>
      <c r="N535" s="3"/>
      <c r="O535" t="inlineStr">
        <is>
          <t>未联系</t>
        </is>
      </c>
      <c r="P535"/>
      <c r="Q535" t="inlineStr">
        <is>
          <t>上海环境保护协会-法国奥地利</t>
        </is>
      </c>
      <c r="R535"/>
      <c r="S535"/>
      <c r="T535"/>
    </row>
    <row r="536" ht="25.5" customHeight="1">
      <c r="A536" t="inlineStr">
        <is>
          <t>土耳其软件工业协会/Yazılım Sanayicileri Derneği（YASAD）</t>
        </is>
      </c>
      <c r="B536" t="inlineStr">
        <is>
          <t>土耳其</t>
        </is>
      </c>
      <c r="C536" t="inlineStr">
        <is>
          <t>伊斯坦布尔</t>
        </is>
      </c>
      <c r="D536" t="inlineStr">
        <is>
          <t>商协会</t>
        </is>
      </c>
      <c r="E536" t="inlineStr">
        <is>
          <t>商会协会</t>
        </is>
      </c>
      <c r="F536" t="inlineStr">
        <is>
          <t>伊斯坦布尔专业自由区，
机场街1号，-1层，
巴克尔科伊，伊斯坦布尔</t>
        </is>
      </c>
      <c r="G536" s="2" t="str">
        <f>=HYPERLINK("https://www.yasad.org.tr/", "https://www.yasad.org.tr/")</f>
        <v>https://www.yasad.org.tr/</v>
      </c>
      <c r="H536" t="inlineStr">
        <is>
          <t>土耳其领先的软件产业行业协会，汇聚了众多本土软件开发、解决方案和服务企业。协会致力于提升土耳其软件产业的全球竞争力，通过组织行业活动、制定标准、提供市场信息及倡导有利政策来支持会员发展。其会员网络是了解土耳其本土软件生态及寻求B2B合作的重要入口。</t>
        </is>
      </c>
      <c r="I536"/>
      <c r="J536"/>
      <c r="K536"/>
      <c r="L536" s="2" t="str">
        <f>=HYPERLINK("mailto:yasad@yasad.org.tr", "yasad@yasad.org.tr")</f>
        <v>yasad@yasad.org.tr</v>
      </c>
      <c r="M536" t="inlineStr">
        <is>
          <t>+90 (212) 276 05 25</t>
        </is>
      </c>
      <c r="N536" s="3">
        <v>46062</v>
      </c>
      <c r="O536" t="inlineStr">
        <is>
          <t>已联系未回复</t>
        </is>
      </c>
      <c r="P536"/>
      <c r="Q536" t="inlineStr">
        <is>
          <t>普陀外办-土耳其奥地利</t>
        </is>
      </c>
      <c r="R536"/>
      <c r="S536"/>
      <c r="T536"/>
    </row>
    <row r="537" ht="25.5" customHeight="1">
      <c r="A537" t="inlineStr">
        <is>
          <t>土耳其科技生态社区/Turkish Tech</t>
        </is>
      </c>
      <c r="B537" t="inlineStr">
        <is>
          <t>土耳其</t>
        </is>
      </c>
      <c r="C537" t="inlineStr">
        <is>
          <t>伊斯坦布尔</t>
        </is>
      </c>
      <c r="D537" t="inlineStr">
        <is>
          <t>商协会</t>
        </is>
      </c>
      <c r="E537" t="inlineStr">
        <is>
          <t>商会协会</t>
        </is>
      </c>
      <c r="F537" t="inlineStr">
        <is>
          <t>大佩拉大厦，Hüseyinağa街区，独立大街56/58号，3层，5号单元，贝尤鲁/伊斯坦布尔</t>
        </is>
      </c>
      <c r="G537" s="2" t="str">
        <f>=HYPERLINK("https://www.turkish-tech.com/en?utm_source=chatgpt.com", "https://www.turkish-tech.com/en?utm_source=chatgpt.com")</f>
        <v>https://www.turkish-tech.com/en?utm_source=chatgpt.com</v>
      </c>
      <c r="H537" t="inlineStr">
        <is>
          <t>一个聚焦土耳其科技创新与初创企业的线上社区及媒体平台。它通过新闻、报告和活动，连接创业者、投资者和行业专家，旨在宣传和推动土耳其科技生态系统的发展。该平台是快速了解土耳其科技趋势、热点公司和投资动态的信息枢纽。</t>
        </is>
      </c>
      <c r="I537"/>
      <c r="J537"/>
      <c r="K537"/>
      <c r="L537" s="2" t="str">
        <f>=HYPERLINK("mailto:contact@turkish-tech.com", "contact@turkish-tech.com")</f>
        <v>contact@turkish-tech.com</v>
      </c>
      <c r="M537" t="inlineStr">
        <is>
          <t>+90 (533) 635 27 15</t>
        </is>
      </c>
      <c r="N537" s="3">
        <v>46062</v>
      </c>
      <c r="O537" t="inlineStr">
        <is>
          <t>已联系未回复</t>
        </is>
      </c>
      <c r="P537"/>
      <c r="Q537" t="inlineStr">
        <is>
          <t>普陀外办-土耳其奥地利</t>
        </is>
      </c>
      <c r="R537"/>
      <c r="S537"/>
      <c r="T537"/>
    </row>
    <row r="538" ht="25.5" customHeight="1">
      <c r="A538" t="inlineStr">
        <is>
          <t>土耳其人工智能与技术协会/Artificial Intelligence and Technology Association (YZTD)</t>
        </is>
      </c>
      <c r="B538" t="inlineStr">
        <is>
          <t>土耳其</t>
        </is>
      </c>
      <c r="C538" t="inlineStr">
        <is>
          <t>伊斯坦布尔</t>
        </is>
      </c>
      <c r="D538" t="inlineStr">
        <is>
          <t>商协会</t>
        </is>
      </c>
      <c r="E538" t="inlineStr">
        <is>
          <t>商会协会</t>
        </is>
      </c>
      <c r="F538" t="inlineStr">
        <is>
          <t>莫尔巴桑索卡克街，Koza商务中心B栋，5层，邮编34349，巴尔穆库，伊斯坦布尔，土耳其</t>
        </is>
      </c>
      <c r="G538" s="2" t="str">
        <f>=HYPERLINK("https://yztd.org.tr/en/about-us?utm_source=chatgpt.com", "https://yztd.org.tr/en/about-us?utm_source=chatgpt.com")</f>
        <v>https://yztd.org.tr/en/about-us?utm_source=chatgpt.com</v>
      </c>
      <c r="H538" t="inlineStr">
        <is>
          <t>土耳其专注于人工智能、机器学习及其他颠覆性技术领域的非营利性行业协会。协会联合学术界、产业界和公共部门，旨在推动AI技术的研究、应用、伦理治理和人才培养，是连接土耳其AI生态系统中各类参与者的关键平台。</t>
        </is>
      </c>
      <c r="I538"/>
      <c r="J538"/>
      <c r="K538"/>
      <c r="L538" s="2" t="str">
        <f>=HYPERLINK("mailto:info@yztd.org.tr", "info@yztd.org.tr")</f>
        <v>info@yztd.org.tr</v>
      </c>
      <c r="M538" t="inlineStr">
        <is>
          <t>+90 212 347 19 09</t>
        </is>
      </c>
      <c r="N538" s="3">
        <v>46062</v>
      </c>
      <c r="O538" t="inlineStr">
        <is>
          <t>已联系未回复</t>
        </is>
      </c>
      <c r="P538"/>
      <c r="Q538" t="inlineStr">
        <is>
          <t>普陀外办-土耳其奥地利</t>
        </is>
      </c>
      <c r="R538"/>
      <c r="S538"/>
      <c r="T538"/>
    </row>
    <row r="539" ht="25.5" customHeight="1">
      <c r="A539" t="inlineStr">
        <is>
          <t>土耳其医疗健康出口协会/Turkish Healthcare / IKMIB</t>
        </is>
      </c>
      <c r="B539" t="inlineStr">
        <is>
          <t>土耳其</t>
        </is>
      </c>
      <c r="C539" t="inlineStr">
        <is>
          <t>伊斯坦布尔</t>
        </is>
      </c>
      <c r="D539" t="inlineStr">
        <is>
          <t>商协会</t>
        </is>
      </c>
      <c r="E539" t="inlineStr">
        <is>
          <t>商会协会</t>
        </is>
      </c>
      <c r="F539" t="inlineStr">
        <is>
          <t>YeniBosna中心街区，工业街3号，对外贸易综合楼A栋6层，邮编34197，Yenibosna/巴赫切利耶夫勒，伊斯坦布尔，土耳其</t>
        </is>
      </c>
      <c r="G539" s="2" t="str">
        <f>=HYPERLINK("https://turkishhealthcare.org/?utm_source=chatgpt.com", "https://turkishhealthcare.org/?utm_source=chatgpt.com")</f>
        <v>https://turkishhealthcare.org/?utm_source=chatgpt.com</v>
      </c>
      <c r="H539" t="inlineStr">
        <is>
          <t>代表土耳其制药、化妆品及化学产品（包括原料药和医疗器械相关化学品）生产商和出口商的权威行业组织。协会核心职能是促进成员企业的国际贸易与合作，组织国际展览和商务代表团，是链接土耳其生命健康产业与全球市场，特别是吸引相关制造业投资的关键桥梁。</t>
        </is>
      </c>
      <c r="I539"/>
      <c r="J539"/>
      <c r="K539"/>
      <c r="L539" s="2" t="str">
        <f>=HYPERLINK("mailto:turkishhealthcare@ikmib.org.tr", "turkishhealthcare@ikmib.org.tr")</f>
        <v>turkishhealthcare@ikmib.org.tr</v>
      </c>
      <c r="M539" t="inlineStr">
        <is>
          <t>+90 212 454 00 00</t>
        </is>
      </c>
      <c r="N539" s="3">
        <v>46062</v>
      </c>
      <c r="O539" t="inlineStr">
        <is>
          <t>已联系未回复</t>
        </is>
      </c>
      <c r="P539"/>
      <c r="Q539" t="inlineStr">
        <is>
          <t>普陀外办-土耳其奥地利</t>
        </is>
      </c>
      <c r="R539"/>
      <c r="S539"/>
      <c r="T539"/>
    </row>
    <row r="540" ht="25.5" customHeight="1">
      <c r="A540" t="inlineStr">
        <is>
          <t>伊斯坦布尔商会/Istanbul Chamber of Commerce (ITO)</t>
        </is>
      </c>
      <c r="B540" t="inlineStr">
        <is>
          <t>土耳其</t>
        </is>
      </c>
      <c r="C540" t="inlineStr">
        <is>
          <t>伊斯坦布尔</t>
        </is>
      </c>
      <c r="D540" t="inlineStr">
        <is>
          <t>商协会</t>
        </is>
      </c>
      <c r="E540" t="inlineStr">
        <is>
          <t>商会协会</t>
        </is>
      </c>
      <c r="F540" t="inlineStr">
        <is>
          <t>土耳其 伊斯坦布尔市 埃森勒区
Oruç Reis 街区 Giyimkent 园区
12. 街道 82 号
邮政编码：34235</t>
        </is>
      </c>
      <c r="G540" s="2" t="str">
        <f>=HYPERLINK("https://www.ito.org.tr/en", "https://www.ito.org.tr/en")</f>
        <v>https://www.ito.org.tr/en</v>
      </c>
      <c r="H540" t="inlineStr">
        <is>
          <t>土耳其最大、历史最悠久的商会，拥有超过40万家企业会员，覆盖所有经济行业。作为伊斯坦布尔商业生活的核心机构，它提供贸易服务、培训、认证，并积极代表企业与政府沟通。其庞大的网络和影响力是接触各行业领军企业，尤其是大型企业和家族集团的战略入口。</t>
        </is>
      </c>
      <c r="I540" t="inlineStr">
        <is>
          <t>Onur BAYRAMOĞLU</t>
        </is>
      </c>
      <c r="J540" t="inlineStr">
        <is>
          <t>国际关系部专家</t>
        </is>
      </c>
      <c r="K540"/>
      <c r="L540" s="2" t="str">
        <f>=HYPERLINK("mailto:onur.bayramoglu@ito.org.tr", "onur.bayramoglu@ito.org.tr")</f>
        <v>onur.bayramoglu@ito.org.tr</v>
      </c>
      <c r="M540" t="inlineStr">
        <is>
          <t>481 004 0485</t>
        </is>
      </c>
      <c r="N540" s="3">
        <v>46062</v>
      </c>
      <c r="O540" t="inlineStr">
        <is>
          <t>已联系已回复</t>
        </is>
      </c>
      <c r="P540" t="inlineStr">
        <is>
          <t>表示需要驻上海大使馆推荐，大使馆表示需要外事办来联系他们</t>
        </is>
      </c>
      <c r="Q540" t="inlineStr">
        <is>
          <t>普陀外办-土耳其奥地利</t>
        </is>
      </c>
      <c r="R540"/>
      <c r="S540"/>
      <c r="T540"/>
    </row>
    <row r="541" ht="25.5" customHeight="1">
      <c r="A541" t="inlineStr">
        <is>
          <t>土耳其信息与通信技术行业协会/Türkiye Bilişim Sanayicileri ve İş Adamları Derneği</t>
        </is>
      </c>
      <c r="B541" t="inlineStr">
        <is>
          <t>土耳其</t>
        </is>
      </c>
      <c r="C541" t="inlineStr">
        <is>
          <t>伊斯坦布尔</t>
        </is>
      </c>
      <c r="D541" t="inlineStr">
        <is>
          <t>商协会</t>
        </is>
      </c>
      <c r="E541" t="inlineStr">
        <is>
          <t>商会协会</t>
        </is>
      </c>
      <c r="F541" t="inlineStr">
        <is>
          <t>Büyükdere大街102号，Maya Akar中心B栋，18层71号单元，邮编34394，Esentepe，希什利，伊斯坦布尔，土耳其</t>
        </is>
      </c>
      <c r="G541" s="2" t="str">
        <f>=HYPERLINK("https://www.tubisad.org.tr/tr/", "https://www.tubisad.org.tr/tr/")</f>
        <v>https://www.tubisad.org.tr/tr/</v>
      </c>
      <c r="H541" t="inlineStr">
        <is>
          <t>土耳其ICT生态系统中最重要的行业协会，代表硬件制造商、软件开发商、电信运营商和数字服务提供商等广大企业。协会进行市场研究、组织行业最大展会（CEBIT Eurasia），并大力推动数字化转型和国际合作，是接触土耳其整个ICT产业链（智能软件、研发服务、科技金融的基础）最全面、最高效的官方渠道。</t>
        </is>
      </c>
      <c r="I541"/>
      <c r="J541"/>
      <c r="K541"/>
      <c r="L541" s="2" t="str">
        <f>=HYPERLINK("mailto:tubisad@tubisad.org.tr", "tubisad@tubisad.org.tr")</f>
        <v>tubisad@tubisad.org.tr</v>
      </c>
      <c r="M541" t="inlineStr">
        <is>
          <t>+90 (212) 275 5252</t>
        </is>
      </c>
      <c r="N541" s="3">
        <v>46062</v>
      </c>
      <c r="O541" t="inlineStr">
        <is>
          <t>已联系未回复</t>
        </is>
      </c>
      <c r="P541"/>
      <c r="Q541" t="inlineStr">
        <is>
          <t>普陀外办-土耳其奥地利</t>
        </is>
      </c>
      <c r="R541"/>
      <c r="S541"/>
      <c r="T541"/>
    </row>
    <row r="542" ht="25.5" customHeight="1">
      <c r="A542" t="inlineStr">
        <is>
          <t>伊斯坦布尔投促局/Istanbul Investment Agency</t>
        </is>
      </c>
      <c r="B542" t="inlineStr">
        <is>
          <t>土耳其</t>
        </is>
      </c>
      <c r="C542" t="inlineStr">
        <is>
          <t>伊斯坦布尔</t>
        </is>
      </c>
      <c r="D542" t="inlineStr">
        <is>
          <t>贸促局</t>
        </is>
      </c>
      <c r="E542" t="inlineStr">
        <is>
          <t>贸促局</t>
        </is>
      </c>
      <c r="F542" t="inlineStr">
        <is>
          <t>伊斯坦布尔巴克尔柯伊区，瓦利利克约卢街，编号：10，邮编：34153</t>
        </is>
      </c>
      <c r="G542" s="2" t="str">
        <f>=HYPERLINK("https://istanbulinvestmentagency.istanbul/", "https://istanbulinvestmentagency.istanbul/")</f>
        <v>https://istanbulinvestmentagency.istanbul/</v>
      </c>
      <c r="H542" t="inlineStr">
        <is>
          <t>伊斯坦布尔投促局是专门致力于吸引外资和促进投资的官方机构。作为土耳其最重要的商业和金融中心之一，伊斯坦布尔投促局为企业提供全面的投资服务，包括行业分析、政府政策咨询、投资规划、法律和税务咨询等。该局不仅支持大规模的外资项目，还为中小型企业提供定制化的投资支持，尤其在制造业、服务业、科技和生命健康产业等领域具有深厚的经验。此外，伊斯坦布尔投促局也积极推动土耳其企业的对外投资和国际化进程，帮助土耳其企业开拓海外市场，尤其是通过跨国并购和合作项目来扩大全球影响力。</t>
        </is>
      </c>
      <c r="I542"/>
      <c r="J542"/>
      <c r="K542"/>
      <c r="L542" s="2" t="str">
        <f>=HYPERLINK("http://info@istanbulinvestmentagency.istanbul", "info@istanbulinvestmentagency.istanbul")</f>
        <v>info@istanbulinvestmentagency.istanbul</v>
      </c>
      <c r="M542" t="inlineStr">
        <is>
          <t>+90 212 449 41 66</t>
        </is>
      </c>
      <c r="N542" s="3">
        <v>46062</v>
      </c>
      <c r="O542" t="inlineStr">
        <is>
          <t>已联系未回复</t>
        </is>
      </c>
      <c r="P542"/>
      <c r="Q542" t="inlineStr">
        <is>
          <t>普陀外办-土耳其奥地利</t>
        </is>
      </c>
      <c r="R542"/>
      <c r="S542"/>
      <c r="T542"/>
    </row>
    <row r="543" ht="25.5" customHeight="1">
      <c r="A543" t="inlineStr">
        <is>
          <t>伊斯坦布尔发展署/Istanbul Development Agency</t>
        </is>
      </c>
      <c r="B543" t="inlineStr">
        <is>
          <t>土耳其</t>
        </is>
      </c>
      <c r="C543" t="inlineStr">
        <is>
          <t>伊斯坦布尔</t>
        </is>
      </c>
      <c r="D543" t="inlineStr">
        <is>
          <t>贸促局</t>
        </is>
      </c>
      <c r="E543" t="inlineStr">
        <is>
          <t>贸促局</t>
        </is>
      </c>
      <c r="F543" t="inlineStr">
        <is>
          <t>土耳其伊斯坦布尔市独立大街奥达库勒大厦6楼，邮编：34430。</t>
        </is>
      </c>
      <c r="G543" s="2" t="str">
        <f>=HYPERLINK("http://www.invest.istanbul/about-us/", "http://www.invest.istanbul/about-us/")</f>
        <v>http://www.invest.istanbul/about-us/</v>
      </c>
      <c r="H543" t="inlineStr">
        <is>
          <t>伊斯坦布尔发展署是伊斯坦布尔市政府下属的一个机构，负责推动地方经济的可持续发展和社会进步。该机构通过提供项目支持、资金资助和技术援助等方式，帮助各类企业和创新型项目在伊斯坦布尔落地和成长。伊斯坦布尔发展署特别关注提升城市基础设施、创新科技、绿色经济以及社会企业等领域的投资机会。作为地方性的发展机构，伊斯坦布尔发展署不仅支持外资企业，还注重推动区域性合作，帮助中小企业扩展其市场和创新能力。与此同时，伊斯坦布尔发展署也鼓励本地企业走向全球，推动外向型经济合作，促进土耳其与国际市场的互通有无。</t>
        </is>
      </c>
      <c r="I543"/>
      <c r="J543"/>
      <c r="K543"/>
      <c r="L543" s="2" t="str">
        <f>=HYPERLINK("http://info@invest.istanbul", "info@invest.istanbul")</f>
        <v>info@invest.istanbul</v>
      </c>
      <c r="M543" t="inlineStr">
        <is>
          <t>+90 212 468 34 00</t>
        </is>
      </c>
      <c r="N543" s="3">
        <v>46062</v>
      </c>
      <c r="O543" t="inlineStr">
        <is>
          <t>已联系未回复</t>
        </is>
      </c>
      <c r="P543"/>
      <c r="Q543" t="inlineStr">
        <is>
          <t>普陀外办-土耳其奥地利</t>
        </is>
      </c>
      <c r="R543"/>
      <c r="S543"/>
      <c r="T543"/>
    </row>
    <row r="544" ht="25.5" customHeight="1">
      <c r="A544" t="inlineStr">
        <is>
          <t>土耳其投资发展署/Invest in Turkey</t>
        </is>
      </c>
      <c r="B544" t="inlineStr">
        <is>
          <t>土耳其</t>
        </is>
      </c>
      <c r="C544" t="inlineStr">
        <is>
          <t>安卡拉</t>
        </is>
      </c>
      <c r="D544" t="inlineStr">
        <is>
          <t>贸促局</t>
        </is>
      </c>
      <c r="E544" t="inlineStr">
        <is>
          <t>贸促局</t>
        </is>
      </c>
      <c r="F544" t="inlineStr">
        <is>
          <t>土耳其安卡拉省恰恩卡亚区卡瓦克利德雷街区阿凯大街5号，邮编：06640</t>
        </is>
      </c>
      <c r="G544" s="2" t="str">
        <f>=HYPERLINK("https://www.invest.gov.tr/en/pages/home-page.aspx", "https://www.invest.gov.tr/en/pages/home-page.aspx")</f>
        <v>https://www.invest.gov.tr/en/pages/home-page.aspx</v>
      </c>
      <c r="H544" t="inlineStr">
        <is>
          <t>土耳其投资发展署是由土耳其政府设立的官方机构，专门负责促进外资流入和支持外国企业在土耳其的投资与发展。作为国家级的投资促进机构，Invest in Turkey 提供一站式服务，包括生命健康、能源、制造业、科技等领域，致力于为外资企业提供高效的投资支持和简化的行政流程。通过与政府和地方机构的紧密合作，土耳其投资发展署帮助企业克服市场准入的障碍，并提供了灵活的激励政策和优惠条件，确保企业能够在土耳其市场获得成功。同时，Invest in Turkey 也支持土耳其本土企业开展对外投资，尤其是在全球化和国际合作方面，为企业提供跨境投资机会和策略支持，帮助他们在国际市场中占据有利位置。</t>
        </is>
      </c>
      <c r="I544" t="inlineStr">
        <is>
          <t>Musap Eryiğit
</t>
        </is>
      </c>
      <c r="J544" t="inlineStr">
        <is>
          <t>海外办事处专家</t>
        </is>
      </c>
      <c r="K544"/>
      <c r="L544" s="2" t="str">
        <f>=HYPERLINK("mailto:meryigit@invest.gov.tr", "meryigit@invest.gov.tr")</f>
        <v>meryigit@invest.gov.tr</v>
      </c>
      <c r="M544" t="inlineStr">
        <is>
          <t>微信：meryigit@invest.gov.tr</t>
        </is>
      </c>
      <c r="N544" s="3">
        <v>46062</v>
      </c>
      <c r="O544" t="inlineStr">
        <is>
          <t>已联系已回复</t>
        </is>
      </c>
      <c r="P544" t="inlineStr">
        <is>
          <t>约见4月20 ，因为中东局势，现在在观望状态，目前暂定6月访问</t>
        </is>
      </c>
      <c r="Q544" t="inlineStr">
        <is>
          <t>普陀外办-土耳其奥地利</t>
        </is>
      </c>
      <c r="R544"/>
      <c r="S544"/>
      <c r="T544"/>
    </row>
    <row r="545" ht="25.5" customHeight="1">
      <c r="A545" t="inlineStr">
        <is>
          <t>土耳其出口商协会 Turkish Exporters Assembly - TIM</t>
        </is>
      </c>
      <c r="B545" t="inlineStr">
        <is>
          <t>土耳其</t>
        </is>
      </c>
      <c r="C545" t="inlineStr">
        <is>
          <t>伊斯坦布尔</t>
        </is>
      </c>
      <c r="D545" t="inlineStr">
        <is>
          <t>商协会</t>
        </is>
      </c>
      <c r="E545" t="inlineStr">
        <is>
          <t>商会协会</t>
        </is>
      </c>
      <c r="F545" t="inlineStr">
        <is>
          <t>叶尼波斯纳中心街区 工业大道 3号 外贸综合大楼 B座 9楼 邮编：34197 巴切利耶夫莱尔/伊斯坦布尔</t>
        </is>
      </c>
      <c r="G545" s="2" t="str">
        <f>=HYPERLINK("https://tim.org.tr/tr/", "https://tim.org.tr/tr/")</f>
        <v>https://tim.org.tr/tr/</v>
      </c>
      <c r="H545" t="inlineStr">
        <is>
          <t>Turkish Exporters Assembly (TIM) 是土耳其全国性出口商协会，负责协调、支持和代表土耳其各行业出口商，推动国际贸易合作与出口增长，同时为会员提供政策咨询、市场信息和国际推广服务。</t>
        </is>
      </c>
      <c r="I545"/>
      <c r="J545"/>
      <c r="K545"/>
      <c r="L545" s="2" t="str">
        <f>=HYPERLINK("mailto:turkiyeihracatcilarmeclisi@hs01.kep.tr", "turkiyeihracatcilarmeclisi@hs01.kep.tr")</f>
        <v>turkiyeihracatcilarmeclisi@hs01.kep.tr</v>
      </c>
      <c r="M545" t="inlineStr">
        <is>
          <t>444 0 846</t>
        </is>
      </c>
      <c r="N545" s="3">
        <v>46062</v>
      </c>
      <c r="O545" t="inlineStr">
        <is>
          <t>已联系未回复</t>
        </is>
      </c>
      <c r="P545"/>
      <c r="Q545" t="inlineStr">
        <is>
          <t>普陀外办-土耳其奥地利</t>
        </is>
      </c>
      <c r="R545"/>
      <c r="S545"/>
      <c r="T545"/>
    </row>
    <row r="546" ht="25.5" customHeight="1">
      <c r="A546" t="inlineStr">
        <is>
          <t>安卡拉发展署/Ankara Development Agency（包含投资支持办公室/Investment Support Office）</t>
        </is>
      </c>
      <c r="B546" t="inlineStr">
        <is>
          <t>土耳其</t>
        </is>
      </c>
      <c r="C546" t="inlineStr">
        <is>
          <t>安卡拉</t>
        </is>
      </c>
      <c r="D546" t="inlineStr">
        <is>
          <t>商协会</t>
        </is>
      </c>
      <c r="E546" t="inlineStr">
        <is>
          <t>商会协会</t>
        </is>
      </c>
      <c r="F546" t="inlineStr">
        <is>
          <t>古韦内夫莱尔社区 盖利博卢街 5号 06690 詹卡亚 / 安卡拉</t>
        </is>
      </c>
      <c r="G546" s="2" t="str">
        <f>=HYPERLINK("https://www.ankaraka.org.tr/en", "https://www.ankaraka.org.tr/en")</f>
        <v>https://www.ankaraka.org.tr/en</v>
      </c>
      <c r="H546" t="inlineStr">
        <is>
          <t>安卡拉发展署是土耳其政府设立的一个区域发展机构，旨在促进安卡拉地区的经济、社会和文化发展。它通过提供资金支持、政策咨询和市场研究，支持本地企业的国际化及吸引外资。投资支持办公室专注于为外国投资者提供便利，包括项目评估、市场准入和法律咨询等服务。</t>
        </is>
      </c>
      <c r="I546"/>
      <c r="J546"/>
      <c r="K546"/>
      <c r="L546" s="2" t="str">
        <f>=HYPERLINK("mailto:bilgi@ankaraka.org.tr", "bilgi@ankaraka.org.tr")</f>
        <v>bilgi@ankaraka.org.tr</v>
      </c>
      <c r="M546" t="inlineStr">
        <is>
          <t>+90 (312) 310 03 00</t>
        </is>
      </c>
      <c r="N546" s="3">
        <v>46062</v>
      </c>
      <c r="O546" t="inlineStr">
        <is>
          <t>已联系未回复</t>
        </is>
      </c>
      <c r="P546"/>
      <c r="Q546" t="inlineStr">
        <is>
          <t>普陀外办-土耳其奥地利</t>
        </is>
      </c>
      <c r="R546"/>
      <c r="S546"/>
      <c r="T546"/>
    </row>
    <row r="547" ht="25.5" customHeight="1">
      <c r="A547" t="inlineStr">
        <is>
          <t>中安纳托利亚出口商协会/Orta Anadolu İhracatçı Birlikleri</t>
        </is>
      </c>
      <c r="B547" t="inlineStr">
        <is>
          <t>土耳其</t>
        </is>
      </c>
      <c r="C547" t="inlineStr">
        <is>
          <t>安卡拉</t>
        </is>
      </c>
      <c r="D547" t="inlineStr">
        <is>
          <t>商协会</t>
        </is>
      </c>
      <c r="E547" t="inlineStr">
        <is>
          <t>商会协会</t>
        </is>
      </c>
      <c r="F547" t="inlineStr">
        <is>
          <t>杰伊洪·阿图夫·坎苏大街 120号 巴尔加特 / 詹卡亚 安卡拉</t>
        </is>
      </c>
      <c r="G547" s="2" t="str">
        <f>=HYPERLINK("https://oaib.org.tr/index", "https://oaib.org.tr/index")</f>
        <v>https://oaib.org.tr/index</v>
      </c>
      <c r="H547" t="inlineStr">
        <is>
          <t>该协会代表安卡拉及周边地区的出口商，致力于促进地区企业的出口业务。协会为会员提供市场分析、进出口服务、展会组织等支持，帮助安卡拉企业拓展国际市场，特别是在农业、纺织、机械和食品等行业。</t>
        </is>
      </c>
      <c r="I547" t="inlineStr">
        <is>
          <t>Burcu Demiröz Çataklı</t>
        </is>
      </c>
      <c r="J547" t="inlineStr">
        <is>
          <t>专家</t>
        </is>
      </c>
      <c r="K547"/>
      <c r="L547" s="2" t="str">
        <f>=HYPERLINK("mailto:demirozb@oaib.org.tr", "demirozb@oaib.org.tr")</f>
        <v>demirozb@oaib.org.tr</v>
      </c>
      <c r="M547" t="inlineStr">
        <is>
          <t>+90 (312) 447 27 40</t>
        </is>
      </c>
      <c r="N547" s="3">
        <v>46062</v>
      </c>
      <c r="O547" t="inlineStr">
        <is>
          <t>已联系未回复</t>
        </is>
      </c>
      <c r="P547"/>
      <c r="Q547" t="inlineStr">
        <is>
          <t>普陀外办-土耳其奥地利</t>
        </is>
      </c>
      <c r="R547"/>
      <c r="S547"/>
      <c r="T547"/>
    </row>
    <row r="548" ht="25.5" customHeight="1">
      <c r="A548" t="inlineStr">
        <is>
          <t>安卡拉商会/Ankara Chamber of Commerce</t>
        </is>
      </c>
      <c r="B548" t="inlineStr">
        <is>
          <t>土耳其</t>
        </is>
      </c>
      <c r="C548" t="inlineStr">
        <is>
          <t>安卡拉</t>
        </is>
      </c>
      <c r="D548" t="inlineStr">
        <is>
          <t>商协会</t>
        </is>
      </c>
      <c r="E548" t="inlineStr">
        <is>
          <t>商会协会</t>
        </is>
      </c>
      <c r="F548" t="inlineStr">
        <is>
          <t>瑟于特厄聚社区 2180街 5/A号 06530 詹卡亚/安卡拉</t>
        </is>
      </c>
      <c r="G548" s="2" t="str">
        <f>=HYPERLINK("https://www.atonet.org.tr/en", "https://www.atonet.org.tr/en")</f>
        <v>https://www.atonet.org.tr/en</v>
      </c>
      <c r="H548" t="inlineStr">
        <is>
          <t>安卡拉商会是土耳其最具影响力的商会之一，致力于促进本地经济发展，支持本地企业的成长和国际化。商会提供政策支持、行业咨询、市场研究等服务，并促进安卡拉市与全球市场的对接。</t>
        </is>
      </c>
      <c r="I548"/>
      <c r="J548"/>
      <c r="K548"/>
      <c r="L548" s="2" t="str">
        <f>=HYPERLINK("mailto:iletisim@atonet.org.tr", "iletisim@atonet.org.tr")</f>
        <v>iletisim@atonet.org.tr</v>
      </c>
      <c r="M548" t="inlineStr">
        <is>
          <t>+90 (312) 201 81 00 - 01</t>
        </is>
      </c>
      <c r="N548" s="3">
        <v>46062</v>
      </c>
      <c r="O548" t="inlineStr">
        <is>
          <t>已联系未回复</t>
        </is>
      </c>
      <c r="P548"/>
      <c r="Q548" t="inlineStr">
        <is>
          <t>普陀外办-土耳其奥地利</t>
        </is>
      </c>
      <c r="R548"/>
      <c r="S548"/>
      <c r="T548"/>
    </row>
    <row r="549" ht="25.5" customHeight="1">
      <c r="A549" t="inlineStr">
        <is>
          <t>安卡拉工业商会/Ankara Chamber of Industry</t>
        </is>
      </c>
      <c r="B549" t="inlineStr">
        <is>
          <t>土耳其</t>
        </is>
      </c>
      <c r="C549" t="inlineStr">
        <is>
          <t>安卡拉</t>
        </is>
      </c>
      <c r="D549" t="inlineStr">
        <is>
          <t>商协会</t>
        </is>
      </c>
      <c r="E549" t="inlineStr">
        <is>
          <t>商会协会</t>
        </is>
      </c>
      <c r="F549" t="inlineStr">
        <is>
          <t>雷姆齐·奥乌兹·阿勒克，阿塔图尔克大道 193号，06680 詹卡亚/安卡拉，土耳其</t>
        </is>
      </c>
      <c r="G549" s="2" t="str">
        <f>=HYPERLINK("https://www.aso.org.tr/", "https://www.aso.org.tr/")</f>
        <v>https://www.aso.org.tr/</v>
      </c>
      <c r="H549" t="inlineStr">
        <is>
          <t>安卡拉工业商会代表安卡拉的工业企业，推动工业发展与创新。商会为会员企业提供政策指导、市场接入、技术支持等服务，并通过促进国际合作与技术转移，提升本地制造业的竞争力。</t>
        </is>
      </c>
      <c r="I549"/>
      <c r="J549"/>
      <c r="K549"/>
      <c r="L549" s="2" t="str">
        <f>=HYPERLINK("mailto:aso@aso.org.tr", "aso@aso.org.tr")</f>
        <v>aso@aso.org.tr</v>
      </c>
      <c r="M549" t="inlineStr">
        <is>
          <t>+90-312-417 12 00</t>
        </is>
      </c>
      <c r="N549" s="3">
        <v>46062</v>
      </c>
      <c r="O549" t="inlineStr">
        <is>
          <t>已联系未回复</t>
        </is>
      </c>
      <c r="P549"/>
      <c r="Q549" t="inlineStr">
        <is>
          <t>普陀外办-土耳其奥地利</t>
        </is>
      </c>
      <c r="R549"/>
      <c r="S549"/>
      <c r="T549"/>
    </row>
    <row r="550" ht="25.5" customHeight="1">
      <c r="A550" t="inlineStr">
        <is>
          <t>TOBB - 土耳其商会和商品交易所联盟/TOBB - Türkiye Odalar ve Borsalar Birliği</t>
        </is>
      </c>
      <c r="B550" t="inlineStr">
        <is>
          <t>土耳其</t>
        </is>
      </c>
      <c r="C550" t="inlineStr">
        <is>
          <t>安卡拉</t>
        </is>
      </c>
      <c r="D550" t="inlineStr">
        <is>
          <t>商协会</t>
        </is>
      </c>
      <c r="E550" t="inlineStr">
        <is>
          <t>商会协会</t>
        </is>
      </c>
      <c r="F550" t="inlineStr">
        <is>
          <t>杜姆卢珀纳尔大道 252号（埃斯基谢希尔路 9公里处）06530 / 安卡拉</t>
        </is>
      </c>
      <c r="G550" s="2" t="str">
        <f>=HYPERLINK("https://www.tobb.org.tr/Sayfalar/AnaSayfa.php", "https://www.tobb.org.tr/Sayfalar/AnaSayfa.php")</f>
        <v>https://www.tobb.org.tr/Sayfalar/AnaSayfa.php</v>
      </c>
      <c r="H550" t="inlineStr">
        <is>
          <t>TOBB是土耳其的主要商会与商品交易所联合组织，致力于促进土耳其的商业环境、经济发展与国际贸易。TOBB在各行业提供政策支持、商业指导、市场准入及跨境合作服务，并代表土耳其企业参与全球经济事务。</t>
        </is>
      </c>
      <c r="I550"/>
      <c r="J550"/>
      <c r="K550"/>
      <c r="L550" s="2" t="str">
        <f>=HYPERLINK("mailto:international@tobb.org.tr", "international@tobb.org.tr")</f>
        <v>international@tobb.org.tr</v>
      </c>
      <c r="M550" t="inlineStr">
        <is>
          <t>+90(312) 218 20 00</t>
        </is>
      </c>
      <c r="N550" s="3">
        <v>46062</v>
      </c>
      <c r="O550" t="inlineStr">
        <is>
          <t>已联系未回复</t>
        </is>
      </c>
      <c r="P550"/>
      <c r="Q550" t="inlineStr">
        <is>
          <t>普陀外办-土耳其奥地利</t>
        </is>
      </c>
      <c r="R550"/>
      <c r="S550"/>
      <c r="T550"/>
    </row>
    <row r="551" ht="25.5" customHeight="1">
      <c r="A551" t="inlineStr">
        <is>
          <t>安卡拉世界贸易中心是世界贸易中心协会（WTCA）/WTC Ankara – World Trade Center</t>
        </is>
      </c>
      <c r="B551" t="inlineStr">
        <is>
          <t>土耳其</t>
        </is>
      </c>
      <c r="C551" t="inlineStr">
        <is>
          <t>安卡拉</t>
        </is>
      </c>
      <c r="D551" t="inlineStr">
        <is>
          <t>商协会</t>
        </is>
      </c>
      <c r="E551" t="inlineStr">
        <is>
          <t>商会协会</t>
        </is>
      </c>
      <c r="F551" t="inlineStr">
        <is>
          <t>埃斯基谢希尔路 55公里处 24号，06909 泰梅利-安卡拉 / 土耳其</t>
        </is>
      </c>
      <c r="G551" s="2" t="str">
        <f>=HYPERLINK("https://wtcankara.org.tr/en/", "https://wtcankara.org.tr/en/")</f>
        <v>https://wtcankara.org.tr/en/</v>
      </c>
      <c r="H551" t="inlineStr">
        <is>
          <t>安卡拉世界贸易中心是全球贸易中心协会（WTCA）的成员，旨在促进安卡拉地区的跨国贸易和商业合作。它为企业提供商务网络、市场准入、国际展会支持以及各种跨境投资服务，帮助企业进入全球市场。</t>
        </is>
      </c>
      <c r="I551"/>
      <c r="J551"/>
      <c r="K551"/>
      <c r="L551" s="2" t="str">
        <f>=HYPERLINK("mailto:info@wtcankara.org.tr", "info@wtcankara.org.tr")</f>
        <v>info@wtcankara.org.tr</v>
      </c>
      <c r="M551" t="inlineStr">
        <is>
          <t>+90-312-468-8750</t>
        </is>
      </c>
      <c r="N551" s="3">
        <v>46062</v>
      </c>
      <c r="O551" t="inlineStr">
        <is>
          <t>已联系未回复</t>
        </is>
      </c>
      <c r="P551"/>
      <c r="Q551" t="inlineStr">
        <is>
          <t>普陀外办-土耳其奥地利</t>
        </is>
      </c>
      <c r="R551"/>
      <c r="S551"/>
      <c r="T551"/>
    </row>
    <row r="552" ht="25.5" customHeight="1">
      <c r="A552" t="inlineStr">
        <is>
          <t>中东科技大学 /Middle East Technical University - METU</t>
        </is>
      </c>
      <c r="B552" t="inlineStr">
        <is>
          <t>土耳其</t>
        </is>
      </c>
      <c r="C552" t="inlineStr">
        <is>
          <t>安卡拉</t>
        </is>
      </c>
      <c r="D552" t="inlineStr">
        <is>
          <t>高校</t>
        </is>
      </c>
      <c r="E552" t="inlineStr">
        <is>
          <t>教育</t>
        </is>
      </c>
      <c r="F552" t="inlineStr">
        <is>
          <t>杜姆卢珀纳尔大道 1号 06800 詹卡亚 安卡拉/土耳其</t>
        </is>
      </c>
      <c r="G552" s="2" t="str">
        <f>=HYPERLINK("https://ico.metu.edu.tr/slider/celebrating-metus-70th-anniversary", "https://ico.metu.edu.tr/slider/celebrating-metus-70th-anniversary")</f>
        <v>https://ico.metu.edu.tr/slider/celebrating-metus-70th-anniversary</v>
      </c>
      <c r="H552" t="inlineStr">
        <is>
          <t>中东科技大学是土耳其顶尖的公立大学，特别在工程、计算机科学和自然科学领域享有极高声誉。学校强调创新和跨学科合作，培养了大量的科研人才，并与全球多个高校和科研机构保持紧密合作。</t>
        </is>
      </c>
      <c r="I552" t="inlineStr">
        <is>
          <t>Dr. Akpinar</t>
        </is>
      </c>
      <c r="J552" t="inlineStr">
        <is>
          <t>国际合作办公室协调员</t>
        </is>
      </c>
      <c r="K552"/>
      <c r="L552" s="2" t="str">
        <f>=HYPERLINK("mailto:akkol@metu.edu.tr", "akkol@metu.edu.tr")</f>
        <v>akkol@metu.edu.tr</v>
      </c>
      <c r="M552" t="inlineStr">
        <is>
          <t>+90 312 210 7180</t>
        </is>
      </c>
      <c r="N552" s="3">
        <v>46062</v>
      </c>
      <c r="O552" t="inlineStr">
        <is>
          <t>已联系已回复</t>
        </is>
      </c>
      <c r="P552" t="inlineStr">
        <is>
          <t>表示愿意接待，详细沟通，客户又其他公务，所以想要拒绝，现阶段与对方说中东局势不稳定，等明确要去再继续沟通</t>
        </is>
      </c>
      <c r="Q552" t="inlineStr">
        <is>
          <t>普陀外办-土耳其奥地利</t>
        </is>
      </c>
      <c r="R552"/>
      <c r="S552"/>
      <c r="T552"/>
    </row>
    <row r="553" ht="25.5" customHeight="1">
      <c r="A553" t="inlineStr">
        <is>
          <t>比尔肯特大学/Bilkent University</t>
        </is>
      </c>
      <c r="B553" t="inlineStr">
        <is>
          <t>土耳其</t>
        </is>
      </c>
      <c r="C553" t="inlineStr">
        <is>
          <t>安卡拉</t>
        </is>
      </c>
      <c r="D553" t="inlineStr">
        <is>
          <t>高校</t>
        </is>
      </c>
      <c r="E553" t="inlineStr">
        <is>
          <t>教育</t>
        </is>
      </c>
      <c r="F553" t="inlineStr">
        <is>
          <t>06800 比尔肯特，安卡拉 土耳其</t>
        </is>
      </c>
      <c r="G553" s="2" t="str">
        <f>=HYPERLINK("https://w3.bilkent.edu.tr/bilkent/", "https://w3.bilkent.edu.tr/bilkent/")</f>
        <v>https://w3.bilkent.edu.tr/bilkent/</v>
      </c>
      <c r="H553" t="inlineStr">
        <is>
          <t>比尔肯特大学是土耳其最具国际化的私立大学之一，特别在计算机科学、工程技术和艺术设计领域有出色的表现。学校提供英语授课课程，吸引了大量国际学生，并与全球多个大学和科研机构建立了长期合作关系。</t>
        </is>
      </c>
      <c r="I553"/>
      <c r="J553"/>
      <c r="K553"/>
      <c r="L553" s="2"/>
      <c r="M553" t="inlineStr">
        <is>
          <t>+90 312 290 4000</t>
        </is>
      </c>
      <c r="N553" s="3">
        <v>46062</v>
      </c>
      <c r="O553" t="inlineStr">
        <is>
          <t>已联系未回复</t>
        </is>
      </c>
      <c r="P553"/>
      <c r="Q553" t="inlineStr">
        <is>
          <t>普陀外办-土耳其奥地利</t>
        </is>
      </c>
      <c r="R553"/>
      <c r="S553"/>
      <c r="T553"/>
    </row>
    <row r="554" ht="25.5" customHeight="1">
      <c r="A554" t="inlineStr">
        <is>
          <t>EBT铝制建筑有限公司/EBT-Aluminiumbau GmbH</t>
        </is>
      </c>
      <c r="B554" t="inlineStr">
        <is>
          <t>德国</t>
        </is>
      </c>
      <c r="C554" t="inlineStr">
        <is>
          <t>明斯特市</t>
        </is>
      </c>
      <c r="D554" t="inlineStr">
        <is>
          <t>企业</t>
        </is>
      </c>
      <c r="E554" t="inlineStr">
        <is>
          <t>铝业</t>
        </is>
      </c>
      <c r="F554" t="inlineStr">
        <is>
          <t>德国明斯特市阿梅伦逊街13号，邮政编码48167</t>
        </is>
      </c>
      <c r="G554" s="2" t="str">
        <f>=HYPERLINK("https://ebt-aluminiumbau.de/", "https://ebt-aluminiumbau.de/")</f>
        <v>https://ebt-aluminiumbau.de/</v>
      </c>
      <c r="H554" t="inlineStr">
        <is>
          <t>一家位于德国的铝制建筑材料生产商，专注于提供高质量的铝型材、铝门窗、幕墙系统等建筑产品。公司凭借其多年的行业经验，致力于为建筑和工业领域的客户提供定制化铝制解决方案，满足不同项目需求。EBT-Aluminiumbau GmbH 在铝材加工、表面处理和系统集成方面拥有先进技术，为客户提供耐用、美观的铝制建筑材料。</t>
        </is>
      </c>
      <c r="I554"/>
      <c r="J554"/>
      <c r="K554"/>
      <c r="L554" s="2" t="str">
        <f>=HYPERLINK("mailto:kontakt@ebt-aluminiumbau.de", "kontakt@ebt-aluminiumbau.de")</f>
        <v>kontakt@ebt-aluminiumbau.de</v>
      </c>
      <c r="M554"/>
      <c r="N554" s="3">
        <v>46090</v>
      </c>
      <c r="O554" t="inlineStr">
        <is>
          <t>已联系未回复</t>
        </is>
      </c>
      <c r="P554"/>
      <c r="Q554" t="inlineStr">
        <is>
          <t>上海铝业协会-德国奥地利匈牙利</t>
        </is>
      </c>
      <c r="R554"/>
      <c r="S554"/>
      <c r="T554"/>
    </row>
    <row r="555" ht="25.5" customHeight="1">
      <c r="A555" t="inlineStr">
        <is>
          <t>克雷马铝业（德国）有限公司/CREMA ALLUMINIO
GERMANY GmbH</t>
        </is>
      </c>
      <c r="B555" t="inlineStr">
        <is>
          <t>德国</t>
        </is>
      </c>
      <c r="C555" t="inlineStr">
        <is>
          <t>杜塞尔多夫</t>
        </is>
      </c>
      <c r="D555" t="inlineStr">
        <is>
          <t>企业</t>
        </is>
      </c>
      <c r="E555" t="inlineStr">
        <is>
          <t>铝业</t>
        </is>
      </c>
      <c r="F555" t="inlineStr">
        <is>
          <t>杜塞尔多夫A.兰特大道9号，邮编40474</t>
        </is>
      </c>
      <c r="G555" s="2" t="str">
        <f>=HYPERLINK("https://cremaalluminio.it/de/aluminiumrundrohre/", "https://cremaalluminio.it/de/aluminiumrundrohre/")</f>
        <v>https://cremaalluminio.it/de/aluminiumrundrohre/</v>
      </c>
      <c r="H555" t="inlineStr">
        <is>
          <t>该公司是意大利CREMA集团在德国的子公司，专注于铝制品贸易与分销。业务核心是将母公司的铝材产品和技术解决方案引入德语区市场，服务于当地的汽车、建筑及工业制造领域。公司体现了欧洲工业集团典型的跨国运营模式。</t>
        </is>
      </c>
      <c r="I555"/>
      <c r="J555"/>
      <c r="K555"/>
      <c r="L555" s="2" t="str">
        <f>=HYPERLINK("mailto:cremaalluminio@cremaalluminio.it", "cremaalluminio@cremaalluminio.it")</f>
        <v>cremaalluminio@cremaalluminio.it</v>
      </c>
      <c r="M555" t="inlineStr">
        <is>
          <t>+49 0211 5162662/63</t>
        </is>
      </c>
      <c r="N555" s="3">
        <v>46090</v>
      </c>
      <c r="O555" t="inlineStr">
        <is>
          <t>已联系未回复</t>
        </is>
      </c>
      <c r="P555"/>
      <c r="Q555" t="inlineStr">
        <is>
          <t>上海铝业协会-德国奥地利匈牙利</t>
        </is>
      </c>
      <c r="R555"/>
      <c r="S555"/>
      <c r="T555"/>
    </row>
    <row r="556" ht="25.5" customHeight="1">
      <c r="A556" t="inlineStr">
        <is>
          <t>美乔-约斯滕金属两合公司/mejo Metall Josten GmbH &amp; Co. KG</t>
        </is>
      </c>
      <c r="B556" t="inlineStr">
        <is>
          <t>德国</t>
        </is>
      </c>
      <c r="C556" t="inlineStr">
        <is>
          <t>杜塞尔多夫</t>
        </is>
      </c>
      <c r="D556" t="inlineStr">
        <is>
          <t>企业</t>
        </is>
      </c>
      <c r="E556" t="inlineStr">
        <is>
          <t>铝业</t>
        </is>
      </c>
      <c r="F556" t="inlineStr">
        <is>
          <t>杜塞尔多夫布布利策街23号，邮编40599</t>
        </is>
      </c>
      <c r="G556" s="2" t="str">
        <f>=HYPERLINK("https://mejo.de/", "https://mejo.de/")</f>
        <v>https://mejo.de/</v>
      </c>
      <c r="H556" t="inlineStr">
        <is>
          <t>这是一家典型的德国家族式金属加工企业。公司业务以钢材与有色金属的贸易、仓储及精加工为核心，提供锯切、分条等定制化服务。其法律形式“GmbH &amp; Co. KG”在德国中型企业中非常普遍，兼具灵活性与稳定性，主要客户来自本地机械设备与制造业。</t>
        </is>
      </c>
      <c r="I556"/>
      <c r="J556"/>
      <c r="K556"/>
      <c r="L556" s="2" t="str">
        <f>=HYPERLINK("mailto:info@mejo.de", "info@mejo.de")</f>
        <v>info@mejo.de</v>
      </c>
      <c r="M556" t="inlineStr">
        <is>
          <t>+49 211 99890-0</t>
        </is>
      </c>
      <c r="N556" s="3">
        <v>46090</v>
      </c>
      <c r="O556" t="inlineStr">
        <is>
          <t>已联系未回复</t>
        </is>
      </c>
      <c r="P556"/>
      <c r="Q556" t="inlineStr">
        <is>
          <t>上海铝业协会-德国奥地利匈牙利</t>
        </is>
      </c>
      <c r="R556"/>
      <c r="S556"/>
      <c r="T556"/>
    </row>
    <row r="557" ht="25.5" customHeight="1">
      <c r="A557" t="inlineStr">
        <is>
          <t>阿路希尔有限公司/Aluxil GmbH</t>
        </is>
      </c>
      <c r="B557" t="inlineStr">
        <is>
          <t>德国</t>
        </is>
      </c>
      <c r="C557" t="inlineStr">
        <is>
          <t>杜塞尔多夫</t>
        </is>
      </c>
      <c r="D557" t="inlineStr">
        <is>
          <t>企业</t>
        </is>
      </c>
      <c r="E557" t="inlineStr">
        <is>
          <t>铝业</t>
        </is>
      </c>
      <c r="F557" t="inlineStr">
        <is>
          <t>杜塞尔多夫国王大道27号，邮编40212</t>
        </is>
      </c>
      <c r="G557" s="2" t="str">
        <f>=HYPERLINK("https://www.aluxil.com/", "https://www.aluxil.com/")</f>
        <v>https://www.aluxil.com/</v>
      </c>
      <c r="H557" t="inlineStr">
        <is>
          <t>该公司是铝挤压型材与半成品的专业供应商。主要提供各类标准及定制化的铝型材、管材、棒材及板材，服务于门窗制造、机械框架、自动化设备和展示系统等行业。公司定位为连接铝材生产商与终端制造商的高品质中间商与解决方案提供者。</t>
        </is>
      </c>
      <c r="I557"/>
      <c r="J557"/>
      <c r="K557"/>
      <c r="L557" s="2" t="str">
        <f>=HYPERLINK("mailto:info@aluxil.com", "info@aluxil.com")</f>
        <v>info@aluxil.com</v>
      </c>
      <c r="M557" t="inlineStr">
        <is>
          <t>+49 (211) 7306 7256</t>
        </is>
      </c>
      <c r="N557" s="3">
        <v>46090</v>
      </c>
      <c r="O557" t="inlineStr">
        <is>
          <t>已联系未回复</t>
        </is>
      </c>
      <c r="P557"/>
      <c r="Q557" t="inlineStr">
        <is>
          <t>上海铝业协会-德国奥地利匈牙利</t>
        </is>
      </c>
      <c r="R557"/>
      <c r="S557"/>
      <c r="T557"/>
    </row>
    <row r="558" ht="25.5" customHeight="1">
      <c r="A558" t="inlineStr">
        <is>
          <t>阿路杰特-通用有限公司/Alujet-Universal GmbH</t>
        </is>
      </c>
      <c r="B558" t="inlineStr">
        <is>
          <t>德国</t>
        </is>
      </c>
      <c r="C558" t="inlineStr">
        <is>
          <t>杜塞尔多夫</t>
        </is>
      </c>
      <c r="D558" t="inlineStr">
        <is>
          <t>企业</t>
        </is>
      </c>
      <c r="E558" t="inlineStr">
        <is>
          <t>铝业</t>
        </is>
      </c>
      <c r="F558" t="inlineStr">
        <is>
          <t>杜塞尔多夫协和街26号，邮编40219</t>
        </is>
      </c>
      <c r="G558" s="2" t="str">
        <f>=HYPERLINK("https://www.alujet-universal.de/", "https://www.alujet-universal.de/")</f>
        <v>https://www.alujet-universal.de/</v>
      </c>
      <c r="H558" t="inlineStr">
        <is>
          <t>公司专注于铝合金表面处理与精加工技术。核心业务包括铝制部件的喷涂、阳极氧化、拉丝、抛光等表面处理工艺，为汽车、家电、家具及高端消费品行业提供提升产品美观度与耐用性的关键加工服务，是铝产业链中的重要增值环节。</t>
        </is>
      </c>
      <c r="I558"/>
      <c r="J558"/>
      <c r="K558"/>
      <c r="L558" s="2" t="str">
        <f>=HYPERLINK("mailto:info@alujet-universal.de", "info@alujet-universal.de")</f>
        <v>info@alujet-universal.de</v>
      </c>
      <c r="M558" t="inlineStr">
        <is>
          <t>+49 (0) 211 9846201</t>
        </is>
      </c>
      <c r="N558" s="3">
        <v>46090</v>
      </c>
      <c r="O558" t="inlineStr">
        <is>
          <t>已联系未回复</t>
        </is>
      </c>
      <c r="P558"/>
      <c r="Q558" t="inlineStr">
        <is>
          <t>上海铝业协会-德国奥地利匈牙利</t>
        </is>
      </c>
      <c r="R558"/>
      <c r="S558"/>
      <c r="T558"/>
    </row>
    <row r="559" ht="25.5" customHeight="1">
      <c r="A559" t="inlineStr">
        <is>
          <t>亚琛铝工程中心/aluminium engineering center aachen e.V. (aec)</t>
        </is>
      </c>
      <c r="B559" t="inlineStr">
        <is>
          <t>德国</t>
        </is>
      </c>
      <c r="C559" t="inlineStr">
        <is>
          <t>亚琛</t>
        </is>
      </c>
      <c r="D559" t="inlineStr">
        <is>
          <t>企业</t>
        </is>
      </c>
      <c r="E559" t="inlineStr">
        <is>
          <t>铝业</t>
        </is>
      </c>
      <c r="F559" t="inlineStr">
        <is>
          <t>德国 52072 亚琛，因茨街 3 号
德国 52072 亚琛，因茨街 35 号</t>
        </is>
      </c>
      <c r="G559" s="2" t="str">
        <f>=HYPERLINK("http://www.aec-aachen.de/", "http://www.aec-aachen.de")</f>
        <v>http://www.aec-aachen.de</v>
      </c>
      <c r="H559" t="inlineStr">
        <is>
          <t>亚琛铝工程中心专注于铝材及其应用的研究与开发，致力于提升铝材产业的技术创新与应用。该中心与工业界及学术界保持紧密合作，推动铝材相关技术的应用发展。</t>
        </is>
      </c>
      <c r="I559"/>
      <c r="J559"/>
      <c r="K559"/>
      <c r="L559" s="2" t="str">
        <f>=HYPERLINK("mailto:info@aec-aachen.de", "info@aec-aachen.de")</f>
        <v>info@aec-aachen.de</v>
      </c>
      <c r="M559" t="inlineStr">
        <is>
          <t>+49 241 80-90854</t>
        </is>
      </c>
      <c r="N559" s="3">
        <v>46090</v>
      </c>
      <c r="O559" t="inlineStr">
        <is>
          <t>已联系未回复</t>
        </is>
      </c>
      <c r="P559"/>
      <c r="Q559" t="inlineStr">
        <is>
          <t>上海铝业协会-德国奥地利匈牙利</t>
        </is>
      </c>
      <c r="R559"/>
      <c r="S559"/>
      <c r="T559"/>
    </row>
    <row r="560" ht="25.5" customHeight="1">
      <c r="A560" t="inlineStr">
        <is>
          <t>德国铸造协会/Bundesverband der Deutschen Gießerei-Industrie (BDG)</t>
        </is>
      </c>
      <c r="B560" t="inlineStr">
        <is>
          <t>德国</t>
        </is>
      </c>
      <c r="C560" t="inlineStr">
        <is>
          <t>杜塞尔多夫</t>
        </is>
      </c>
      <c r="D560" t="inlineStr">
        <is>
          <t>协会</t>
        </is>
      </c>
      <c r="E560" t="inlineStr">
        <is>
          <t>铝业</t>
        </is>
      </c>
      <c r="F560" t="inlineStr">
        <is>
          <t>德国 40549 杜塞尔多夫，汉萨大道 203 号</t>
        </is>
      </c>
      <c r="G560" s="2" t="str">
        <f>=HYPERLINK("http://www.bdguss.de/", "http://www.bdguss.de")</f>
        <v>http://www.bdguss.de</v>
      </c>
      <c r="H560" t="inlineStr">
        <is>
          <t>德国铸造协会是代表德国铸造行业的专业组织，致力于推动铸造技术的创新与发展。协会为会员提供技术支持，并代表行业利益参与政策倡导。</t>
        </is>
      </c>
      <c r="I560"/>
      <c r="J560"/>
      <c r="K560"/>
      <c r="L560" s="2" t="str">
        <f>=HYPERLINK("mailto:info@bdguss.de", "info@bdguss.de")</f>
        <v>info@bdguss.de</v>
      </c>
      <c r="M560" t="inlineStr">
        <is>
          <t>+49 211 6871-0</t>
        </is>
      </c>
      <c r="N560" s="3">
        <v>46090</v>
      </c>
      <c r="O560" t="inlineStr">
        <is>
          <t>已联系未回复</t>
        </is>
      </c>
      <c r="P560"/>
      <c r="Q560" t="inlineStr">
        <is>
          <t>上海铝业协会-德国奥地利匈牙利</t>
        </is>
      </c>
      <c r="R560"/>
      <c r="S560"/>
      <c r="T560"/>
    </row>
    <row r="561" ht="25.5" customHeight="1">
      <c r="A561" t="inlineStr">
        <is>
          <t>德拉特威克·埃利森塔尔·W·厄德曼有限公司/Drahtwerk Elisental W. Erdmann GmbH</t>
        </is>
      </c>
      <c r="B561" t="inlineStr">
        <is>
          <t>德国</t>
        </is>
      </c>
      <c r="C561" t="inlineStr">
        <is>
          <t>诺伊恩拉德</t>
        </is>
      </c>
      <c r="D561" t="inlineStr">
        <is>
          <t>企业</t>
        </is>
      </c>
      <c r="E561" t="inlineStr">
        <is>
          <t>铝业</t>
        </is>
      </c>
      <c r="F561" t="inlineStr">
        <is>
          <t>德国 58809 诺伊恩拉德，韦尔多勒街 40 号</t>
        </is>
      </c>
      <c r="G561" s="2" t="str">
        <f>=HYPERLINK("http://www.elisental.de/", "http://www.elisental.de")</f>
        <v>http://www.elisental.de</v>
      </c>
      <c r="H561" t="inlineStr">
        <is>
          <t>该公司专门生产和销售高质量的金属丝产品，广泛应用于汽车、建筑及电气行业。凭借卓越的产品质量，成为德国及国际市场的重要供应商。</t>
        </is>
      </c>
      <c r="I561" t="inlineStr">
        <is>
          <t>Mr. Theo Wingen</t>
        </is>
      </c>
      <c r="J561"/>
      <c r="K561"/>
      <c r="L561" s="2" t="str">
        <f>=HYPERLINK("mailto:wingen@elisental.de", "wingen@elisental.de")</f>
        <v>wingen@elisental.de</v>
      </c>
      <c r="M561" t="inlineStr">
        <is>
          <t>+49 2392 697-0</t>
        </is>
      </c>
      <c r="N561" s="3">
        <v>46090</v>
      </c>
      <c r="O561" t="inlineStr">
        <is>
          <t>已联系未回复</t>
        </is>
      </c>
      <c r="P561"/>
      <c r="Q561" t="inlineStr">
        <is>
          <t>上海铝业协会-德国奥地利匈牙利</t>
        </is>
      </c>
      <c r="R561"/>
      <c r="S561"/>
      <c r="T561"/>
    </row>
    <row r="562" ht="25.5" customHeight="1">
      <c r="A562" t="inlineStr">
        <is>
          <t>纤维涂层有限公司/FibreCoat GmbH</t>
        </is>
      </c>
      <c r="B562" t="inlineStr">
        <is>
          <t>德国</t>
        </is>
      </c>
      <c r="C562" t="inlineStr">
        <is>
          <t>亚琛</t>
        </is>
      </c>
      <c r="D562" t="inlineStr">
        <is>
          <t>企业</t>
        </is>
      </c>
      <c r="E562" t="inlineStr">
        <is>
          <t>铝业</t>
        </is>
      </c>
      <c r="F562" t="inlineStr">
        <is>
          <t>德国 52068 亚琛，丹尼沃特街 25-27 号</t>
        </is>
      </c>
      <c r="G562" s="2" t="str">
        <f>=HYPERLINK("https://fibrecoat.de/", "https://fibrecoat.de/")</f>
        <v>https://fibrecoat.de/</v>
      </c>
      <c r="H562" t="inlineStr">
        <is>
          <t>纤维涂层有限公司专注于金属表面处理技术，尤其是为铝和钢材提供创新的涂层解决方案。公司产品在防腐蚀、耐磨损等方面具有显著优势。</t>
        </is>
      </c>
      <c r="I562"/>
      <c r="J562"/>
      <c r="K562"/>
      <c r="L562" s="2" t="str">
        <f>=HYPERLINK("mailto:info@fibrecoat.de", "info@fibrecoat.de")</f>
        <v>info@fibrecoat.de</v>
      </c>
      <c r="M562" t="inlineStr">
        <is>
          <t>0241/93688530</t>
        </is>
      </c>
      <c r="N562" s="3">
        <v>46090</v>
      </c>
      <c r="O562" t="inlineStr">
        <is>
          <t>已联系未回复</t>
        </is>
      </c>
      <c r="P562"/>
      <c r="Q562" t="inlineStr">
        <is>
          <t>上海铝业协会-德国奥地利匈牙利</t>
        </is>
      </c>
      <c r="R562"/>
      <c r="S562"/>
      <c r="T562"/>
    </row>
    <row r="563" ht="25.5" customHeight="1">
      <c r="A563" t="inlineStr">
        <is>
          <t>格哈尔迪铝技术有限公司/Gerhardi AluTechnik GmbH</t>
        </is>
      </c>
      <c r="B563" t="inlineStr">
        <is>
          <t>德国</t>
        </is>
      </c>
      <c r="C563" t="inlineStr">
        <is>
          <t>吕登沙伊德</t>
        </is>
      </c>
      <c r="D563" t="inlineStr">
        <is>
          <t>企业</t>
        </is>
      </c>
      <c r="E563" t="inlineStr">
        <is>
          <t>铝业</t>
        </is>
      </c>
      <c r="F563" t="inlineStr">
        <is>
          <t>德国 58513 吕登沙伊德，弗赖贝格街 16 号</t>
        </is>
      </c>
      <c r="G563" s="2" t="str">
        <f>=HYPERLINK("http://www.gerhardi-alu.de/", "http://www.gerhardi-alu.de")</f>
        <v>http://www.gerhardi-alu.de</v>
      </c>
      <c r="H563" t="inlineStr">
        <is>
          <t>格哈尔迪铝技术有限公司在铝材加工和铝合金制造领域中享有盛誉，提供高质量的铝制品，广泛应用于汽车、建筑等行业，尤其擅长精密铝部件的生产。</t>
        </is>
      </c>
      <c r="I563"/>
      <c r="J563"/>
      <c r="K563"/>
      <c r="L563" s="2" t="str">
        <f>=HYPERLINK("mailto:info@gerhardi-alu.de", "info@gerhardi-alu.de")</f>
        <v>info@gerhardi-alu.de</v>
      </c>
      <c r="M563" t="inlineStr">
        <is>
          <t>+49 2351 955-66</t>
        </is>
      </c>
      <c r="N563" s="3">
        <v>46090</v>
      </c>
      <c r="O563" t="inlineStr">
        <is>
          <t>已联系未回复</t>
        </is>
      </c>
      <c r="P563"/>
      <c r="Q563" t="inlineStr">
        <is>
          <t>上海铝业协会-德国奥地利匈牙利</t>
        </is>
      </c>
      <c r="R563"/>
      <c r="S563"/>
      <c r="T563"/>
    </row>
    <row r="564" ht="25.5" customHeight="1">
      <c r="A564" t="inlineStr">
        <is>
          <t>格里洛公司/Grillo-Werke AG</t>
        </is>
      </c>
      <c r="B564" t="inlineStr">
        <is>
          <t>德国</t>
        </is>
      </c>
      <c r="C564" t="inlineStr">
        <is>
          <t>戈斯拉尔</t>
        </is>
      </c>
      <c r="D564" t="inlineStr">
        <is>
          <t>企业</t>
        </is>
      </c>
      <c r="E564" t="inlineStr">
        <is>
          <t>铝业</t>
        </is>
      </c>
      <c r="F564" t="inlineStr">
        <is>
          <t>德国 38644 戈斯拉尔，哈尔伯施塔特街 17 号</t>
        </is>
      </c>
      <c r="G564" s="2" t="str">
        <f>=HYPERLINK("http://www.grillo.de/", "http://www.grillo.de")</f>
        <v>http://www.grillo.de</v>
      </c>
      <c r="H564" t="inlineStr">
        <is>
          <t>格里洛公司是一家专注于有色金属冶炼和加工的企业，产品包括铝、锌和铜合金。公司在全球市场上拥有强大的供应链和技术优势，服务多个行业。</t>
        </is>
      </c>
      <c r="I564"/>
      <c r="J564"/>
      <c r="K564"/>
      <c r="L564" s="2" t="str">
        <f>=HYPERLINK("mailto:info@grillo.de", "info@grillo.de")</f>
        <v>info@grillo.de</v>
      </c>
      <c r="M564" t="inlineStr">
        <is>
          <t>+49 5321 68161</t>
        </is>
      </c>
      <c r="N564" s="3">
        <v>46090</v>
      </c>
      <c r="O564" t="inlineStr">
        <is>
          <t>已联系未回复</t>
        </is>
      </c>
      <c r="P564"/>
      <c r="Q564" t="inlineStr">
        <is>
          <t>上海铝业协会-德国奥地利匈牙利</t>
        </is>
      </c>
      <c r="R564"/>
      <c r="S564"/>
      <c r="T564"/>
    </row>
    <row r="565" ht="25.5" customHeight="1">
      <c r="A565" t="inlineStr">
        <is>
          <t>霍施颗粒有限公Hoesch Granules GmbH</t>
        </is>
      </c>
      <c r="B565" t="inlineStr">
        <is>
          <t>德国</t>
        </is>
      </c>
      <c r="C565" t="inlineStr">
        <is>
          <t>诺伊斯</t>
        </is>
      </c>
      <c r="D565" t="inlineStr">
        <is>
          <t>企业</t>
        </is>
      </c>
      <c r="E565" t="inlineStr">
        <is>
          <t>铝业</t>
        </is>
      </c>
      <c r="F565" t="inlineStr">
        <is>
          <t>德国 41460 诺伊斯，汉萨街 10 号</t>
        </is>
      </c>
      <c r="G565" s="2" t="str">
        <f>=HYPERLINK("http://www.hoesch-granules.com/", "http://www.hoesch-granules.com")</f>
        <v>http://www.hoesch-granules.com</v>
      </c>
      <c r="H565" t="inlineStr">
        <is>
          <t>霍施颗粒有限公司主要生产用于铝合金铸造的颗粒产品，广泛应用于汽车工业。公司凭借创新的生产工艺，提供高效、高质量的铝制颗粒。</t>
        </is>
      </c>
      <c r="I565"/>
      <c r="J565"/>
      <c r="K565"/>
      <c r="L565" s="2" t="str">
        <f>=HYPERLINK("mailto:sales@hoesch-granules.com", "sales@hoesch-granules.com")</f>
        <v>sales@hoesch-granules.com</v>
      </c>
      <c r="M565" t="inlineStr">
        <is>
          <t>+49 2131 26845-0</t>
        </is>
      </c>
      <c r="N565" s="3">
        <v>46090</v>
      </c>
      <c r="O565" t="inlineStr">
        <is>
          <t>已联系未回复</t>
        </is>
      </c>
      <c r="P565"/>
      <c r="Q565" t="inlineStr">
        <is>
          <t>上海铝业协会-德国奥地利匈牙利</t>
        </is>
      </c>
      <c r="R565"/>
      <c r="S565"/>
      <c r="T565"/>
    </row>
    <row r="566" ht="25.5" customHeight="1">
      <c r="A566" t="inlineStr">
        <is>
          <t>休克挤压有限公司/Hueck Extrusion GmbH &amp; Co. KG</t>
        </is>
      </c>
      <c r="B566" t="inlineStr">
        <is>
          <t>德国</t>
        </is>
      </c>
      <c r="C566" t="inlineStr">
        <is>
          <t>吕登沙伊德</t>
        </is>
      </c>
      <c r="D566" t="inlineStr">
        <is>
          <t>企业</t>
        </is>
      </c>
      <c r="E566" t="inlineStr">
        <is>
          <t>铝业</t>
        </is>
      </c>
      <c r="F566" t="inlineStr">
        <is>
          <t>德国吕登沙伊德 10558515 塔尔大街</t>
        </is>
      </c>
      <c r="G566" s="2" t="str">
        <f>=HYPERLINK("https://www.hueck-extrusion.com/", "https://www.hueck-extrusion.com")</f>
        <v>https://www.hueck-extrusion.com</v>
      </c>
      <c r="H566" t="inlineStr">
        <is>
          <t>休克挤压有限公司专注于铝型材的生产，广泛应用于建筑、交通和能源领域。公司通过先进的挤压技术，提供定制化的铝型材解决方案。</t>
        </is>
      </c>
      <c r="I566"/>
      <c r="J566"/>
      <c r="K566"/>
      <c r="L566" s="2" t="str">
        <f>=HYPERLINK("mailto:info@hueck.de", "info@hueck.de")</f>
        <v>info@hueck.de</v>
      </c>
      <c r="M566" t="inlineStr">
        <is>
          <t>+49 2351 151-0</t>
        </is>
      </c>
      <c r="N566" s="3">
        <v>46090</v>
      </c>
      <c r="O566" t="inlineStr">
        <is>
          <t>已联系未回复</t>
        </is>
      </c>
      <c r="P566"/>
      <c r="Q566" t="inlineStr">
        <is>
          <t>上海铝业协会-德国奥地利匈牙利</t>
        </is>
      </c>
      <c r="R566"/>
      <c r="S566"/>
      <c r="T566"/>
    </row>
    <row r="567" ht="25.5" customHeight="1">
      <c r="A567" t="inlineStr">
        <is>
          <t>克瑙夫干涉铝业有限公司/Knauf Interfer Aluminium GmbH</t>
        </is>
      </c>
      <c r="B567" t="inlineStr">
        <is>
          <t>德国</t>
        </is>
      </c>
      <c r="C567" t="inlineStr">
        <is>
          <t>恩瑟</t>
        </is>
      </c>
      <c r="D567" t="inlineStr">
        <is>
          <t>企业</t>
        </is>
      </c>
      <c r="E567" t="inlineStr">
        <is>
          <t>铝业</t>
        </is>
      </c>
      <c r="F567" t="inlineStr">
        <is>
          <t>德国 59469 恩瑟 - 赫因根，奥斯特韦格 14 号</t>
        </is>
      </c>
      <c r="G567" s="2" t="str">
        <f>=HYPERLINK("https://www.knauf-interfer.com/", "https://www.knauf-interfer.com")</f>
        <v>https://www.knauf-interfer.com</v>
      </c>
      <c r="H567" t="inlineStr">
        <is>
          <t>克瑙夫干涉铝业有限公司专注于铝及铝合金的生产，致力于为建筑和工业应用提供高质量的铝制产品。公司在环保和节能方面也有显著成就。</t>
        </is>
      </c>
      <c r="I567"/>
      <c r="J567"/>
      <c r="K567"/>
      <c r="L567" s="2" t="str">
        <f>=HYPERLINK("mailto:info@knauf-interfer.de", "info@knauf-interfer.de")</f>
        <v>info@knauf-interfer.de</v>
      </c>
      <c r="M567" t="inlineStr">
        <is>
          <t>+49 2938 808-0</t>
        </is>
      </c>
      <c r="N567" s="3">
        <v>46090</v>
      </c>
      <c r="O567" t="inlineStr">
        <is>
          <t>已联系未回复</t>
        </is>
      </c>
      <c r="P567"/>
      <c r="Q567" t="inlineStr">
        <is>
          <t>上海铝业协会-德国奥地利匈牙利</t>
        </is>
      </c>
      <c r="R567"/>
      <c r="S567"/>
      <c r="T567"/>
    </row>
    <row r="568" ht="25.5" customHeight="1">
      <c r="A568" t="inlineStr">
        <is>
          <t>奥托·福克斯有限公司/OTTO FUCHS KG</t>
        </is>
      </c>
      <c r="B568" t="inlineStr">
        <is>
          <t>德国</t>
        </is>
      </c>
      <c r="C568" t="inlineStr">
        <is>
          <t>迈纳扎根</t>
        </is>
      </c>
      <c r="D568" t="inlineStr">
        <is>
          <t>企业</t>
        </is>
      </c>
      <c r="E568" t="inlineStr">
        <is>
          <t>铝业</t>
        </is>
      </c>
      <c r="F568" t="inlineStr">
        <is>
          <t>德国 58540 迈纳扎根，德施拉格街 26 号</t>
        </is>
      </c>
      <c r="G568" s="2" t="str">
        <f>=HYPERLINK("http://www.otto-fuchs.com/", "http://www.otto-fuchs.com")</f>
        <v>http://www.otto-fuchs.com</v>
      </c>
      <c r="H568" t="inlineStr">
        <is>
          <t>奥托·福克斯有限公司是一家领先的铝合金和高性能金属产品制造商，产品广泛应用于航空航天、汽车和机械制造领域。公司以技术创新和高质量标准著称。</t>
        </is>
      </c>
      <c r="I568"/>
      <c r="J568"/>
      <c r="K568"/>
      <c r="L568" s="2" t="str">
        <f>=HYPERLINK("mailto:info@otto-fuchs.com", "info@otto-fuchs.com")</f>
        <v>info@otto-fuchs.com</v>
      </c>
      <c r="M568" t="inlineStr">
        <is>
          <t>+49 2354 73-1</t>
        </is>
      </c>
      <c r="N568" s="3">
        <v>46090</v>
      </c>
      <c r="O568" t="inlineStr">
        <is>
          <t>已联系未回复</t>
        </is>
      </c>
      <c r="P568"/>
      <c r="Q568" t="inlineStr">
        <is>
          <t>上海铝业协会-德国奥地利匈牙利</t>
        </is>
      </c>
      <c r="R568"/>
      <c r="S568"/>
      <c r="T568"/>
    </row>
    <row r="569" ht="25.5" customHeight="1">
      <c r="A569" t="inlineStr">
        <is>
          <t>REKS有限公司/REKS GmbH &amp; Co. KG</t>
        </is>
      </c>
      <c r="B569" t="inlineStr">
        <is>
          <t>德国</t>
        </is>
      </c>
      <c r="C569" t="inlineStr">
        <is>
          <t>杜塞尔多夫</t>
        </is>
      </c>
      <c r="D569" t="inlineStr">
        <is>
          <t>企业</t>
        </is>
      </c>
      <c r="E569" t="inlineStr">
        <is>
          <t>铝业</t>
        </is>
      </c>
      <c r="F569" t="inlineStr">
        <is>
          <t>德国 40221 杜塞尔多夫，阿姆法尔哈默 1 号</t>
        </is>
      </c>
      <c r="G569" s="2" t="str">
        <f>=HYPERLINK("https://reks.de/", "https://reks.de")</f>
        <v>https://reks.de</v>
      </c>
      <c r="H569" t="inlineStr">
        <is>
          <t>REKS有限公司提供铝加工解决方案，主要包括铝型材的设计和生产。公司通过创新的生产工艺，满足客户在汽车、建筑和机械行业的需求。</t>
        </is>
      </c>
      <c r="I569"/>
      <c r="J569"/>
      <c r="K569"/>
      <c r="L569" s="2" t="str">
        <f>=HYPERLINK("mailto:info@reks.de", "info@reks.de")</f>
        <v>info@reks.de</v>
      </c>
      <c r="M569" t="inlineStr">
        <is>
          <t>+49 0561 475280</t>
        </is>
      </c>
      <c r="N569" s="3">
        <v>46090</v>
      </c>
      <c r="O569" t="inlineStr">
        <is>
          <t>已联系未回复</t>
        </is>
      </c>
      <c r="P569"/>
      <c r="Q569" t="inlineStr">
        <is>
          <t>上海铝业协会-德国奥地利匈牙利</t>
        </is>
      </c>
      <c r="R569"/>
      <c r="S569"/>
      <c r="T569"/>
    </row>
    <row r="570" ht="25.5" customHeight="1">
      <c r="A570" t="inlineStr">
        <is>
          <t>特瑞美铝业股份公司/TRIMET Aluminium SE</t>
        </is>
      </c>
      <c r="B570" t="inlineStr">
        <is>
          <t>德国</t>
        </is>
      </c>
      <c r="C570" t="inlineStr">
        <is>
          <t>盖尔森基兴</t>
        </is>
      </c>
      <c r="D570" t="inlineStr">
        <is>
          <t>企业</t>
        </is>
      </c>
      <c r="E570" t="inlineStr">
        <is>
          <t>铝业</t>
        </is>
      </c>
      <c r="F570" t="inlineStr">
        <is>
          <t>德国 45881 盖尔森基兴，阿姆斯塔特哈芬 51-65 号</t>
        </is>
      </c>
      <c r="G570" s="2" t="str">
        <f>=HYPERLINK("http://www.trimet.de/", "http://www.trimet.de/")</f>
        <v>http://www.trimet.de/</v>
      </c>
      <c r="H570" t="inlineStr">
        <is>
          <t>特瑞美铝业股份公司是一家全球领先的铝生产商，专注于铝的冶炼、加工及铝产品的供应。公司在绿色技术和可持续发展方面处于行业前沿，致力于为客户提供高质量的铝材解决方案。</t>
        </is>
      </c>
      <c r="I570"/>
      <c r="J570"/>
      <c r="K570"/>
      <c r="L570" s="2" t="str">
        <f>=HYPERLINK("mailto:gelsenkirchen@trimet.de", "gelsenkirchen@trimet.de")</f>
        <v>gelsenkirchen@trimet.de</v>
      </c>
      <c r="M570" t="inlineStr">
        <is>
          <t>+49 209 940890</t>
        </is>
      </c>
      <c r="N570" s="3">
        <v>46090</v>
      </c>
      <c r="O570" t="inlineStr">
        <is>
          <t>已联系未回复</t>
        </is>
      </c>
      <c r="P570"/>
      <c r="Q570" t="inlineStr">
        <is>
          <t>上海铝业协会-德国奥地利匈牙利</t>
        </is>
      </c>
      <c r="R570"/>
      <c r="S570"/>
      <c r="T570"/>
    </row>
    <row r="571" ht="25.5" customHeight="1">
      <c r="A571" t="inlineStr">
        <is>
          <t>德国艾莱里斯轧制产品有限公司/Aleris Rolled Products Germany GmbH</t>
        </is>
      </c>
      <c r="B571" t="inlineStr">
        <is>
          <t>德国</t>
        </is>
      </c>
      <c r="C571" t="inlineStr">
        <is>
          <t>科布伦茨</t>
        </is>
      </c>
      <c r="D571" t="inlineStr">
        <is>
          <t>企业</t>
        </is>
      </c>
      <c r="E571" t="inlineStr">
        <is>
          <t>铝业</t>
        </is>
      </c>
      <c r="F571" t="inlineStr">
        <is>
          <t>卡尔·斯帕特街 10号，56070 科布伦茨，德国</t>
        </is>
      </c>
      <c r="G571" s="2" t="str">
        <f>=HYPERLINK("https://www.airframer.com/web_link.html?id=123061", "https://www.airframer.com/web_link.html?id=123061")</f>
        <v>https://www.airframer.com/web_link.html?id=123061</v>
      </c>
      <c r="H571" t="inlineStr">
        <is>
          <t>全球领先的铝加工企业之一，隶属于美国艾莱里斯公司。该公司专注于生产高品质的铝卷、铝板及铝箔等产品，广泛应用于汽车、航空、能源和建筑等行业。Aleris Rolled Products Germany GmbH 在德国设有多个生产基地，致力于通过创新的铝材解决方案，满足客户的多样化需求。公司以其卓越的技术、可靠的质量和可持续的生产方式，成为行业中的重要参与者。</t>
        </is>
      </c>
      <c r="I571"/>
      <c r="J571"/>
      <c r="K571"/>
      <c r="L571" s="2" t="str">
        <f>=HYPERLINK("mailto:info.europe@aleris.com", "info.europe@aleris.com")</f>
        <v>info.europe@aleris.com</v>
      </c>
      <c r="M571"/>
      <c r="N571" s="3">
        <v>46090</v>
      </c>
      <c r="O571" t="inlineStr">
        <is>
          <t>已联系未回复</t>
        </is>
      </c>
      <c r="P571"/>
      <c r="Q571" t="inlineStr">
        <is>
          <t>上海铝业协会-德国奥地利匈牙利</t>
        </is>
      </c>
      <c r="R571"/>
      <c r="S571"/>
      <c r="T571"/>
    </row>
    <row r="572" ht="25.5" customHeight="1">
      <c r="A572" t="inlineStr">
        <is>
          <t>埃卡特有限公司/ECKART GmbH</t>
        </is>
      </c>
      <c r="B572" t="inlineStr">
        <is>
          <t>德国</t>
        </is>
      </c>
      <c r="C572" t="inlineStr">
        <is>
          <t>巴伐利亚州</t>
        </is>
      </c>
      <c r="D572" t="inlineStr">
        <is>
          <t>企业</t>
        </is>
      </c>
      <c r="E572" t="inlineStr">
        <is>
          <t>铝业</t>
        </is>
      </c>
      <c r="F572" t="inlineStr">
        <is>
          <t>德国 哈尔滕施泰因贡特施塔尔街 4 号邮编：91235</t>
        </is>
      </c>
      <c r="G572" s="2" t="str">
        <f>=HYPERLINK("http://www.eckart.net/", "http://www.eckart.net")</f>
        <v>http://www.eckart.net</v>
      </c>
      <c r="H572" t="inlineStr">
        <is>
          <t>埃卡特有限公司（ECKART GmbH）是全球领先的金属效应颜料制造商，核心聚焦铝基颜料的研发与生产，主营铝粉、铝浆等产品，广泛应用于涂料、印刷等领域，在铝及有色金属颜料领域拥有深厚技术积淀与广泛市场影响力。</t>
        </is>
      </c>
      <c r="I572"/>
      <c r="J572"/>
      <c r="K572"/>
      <c r="L572" s="2" t="str">
        <f>=HYPERLINK("mailto:info.eckart@altana.com", "info.eckart@altana.com")</f>
        <v>info.eckart@altana.com</v>
      </c>
      <c r="M572" t="inlineStr">
        <is>
          <t>+49 9152 77-0</t>
        </is>
      </c>
      <c r="N572" s="3">
        <v>46090</v>
      </c>
      <c r="O572" t="inlineStr">
        <is>
          <t>已联系未回复</t>
        </is>
      </c>
      <c r="P572"/>
      <c r="Q572" t="inlineStr">
        <is>
          <t>上海铝业协会-德国奥地利匈牙利</t>
        </is>
      </c>
      <c r="R572"/>
      <c r="S572"/>
      <c r="T572"/>
    </row>
    <row r="573" ht="25.5" customHeight="1">
      <c r="A573" t="inlineStr">
        <is>
          <t>加特纳挤压有限公司/GARTNER EXTRUSION GMBH</t>
        </is>
      </c>
      <c r="B573" t="inlineStr">
        <is>
          <t>德国</t>
        </is>
      </c>
      <c r="C573" t="inlineStr">
        <is>
          <t>巴伐利亚州</t>
        </is>
      </c>
      <c r="D573" t="inlineStr">
        <is>
          <t>企业</t>
        </is>
      </c>
      <c r="E573" t="inlineStr">
        <is>
          <t>铝业</t>
        </is>
      </c>
      <c r="F573" t="inlineStr">
        <is>
          <t>德国 贡德尔芬根彼得斯沃特街 1a邮编：89423</t>
        </is>
      </c>
      <c r="G573" s="2" t="str">
        <f>=HYPERLINK("https://www.gartner-group.com/", "https://www.gartner-group.com")</f>
        <v>https://www.gartner-group.com</v>
      </c>
      <c r="H573" t="inlineStr">
        <is>
          <t>加特纳挤压有限公司（GARTNER EXTRUSION GMBH）专注于铝合金型材精密挤压加工，以高精度尺寸控制著称，采用各类铝合金原材料，生产适配多领域的高精度铝型材，是欧洲高精度铝合金挤压领域的重要企业。</t>
        </is>
      </c>
      <c r="I573"/>
      <c r="J573"/>
      <c r="K573"/>
      <c r="L573" s="2" t="str">
        <f>=HYPERLINK("mailto:info@gartner-group.com", "info@gartner-group.com")</f>
        <v>info@gartner-group.com</v>
      </c>
      <c r="M573" t="inlineStr">
        <is>
          <t>+49 9073 8000-0</t>
        </is>
      </c>
      <c r="N573" s="3">
        <v>46090</v>
      </c>
      <c r="O573" t="inlineStr">
        <is>
          <t>已联系未回复</t>
        </is>
      </c>
      <c r="P573"/>
      <c r="Q573" t="inlineStr">
        <is>
          <t>上海铝业协会-德国奥地利匈牙利</t>
        </is>
      </c>
      <c r="R573"/>
      <c r="S573"/>
      <c r="T573"/>
    </row>
    <row r="574" ht="25.5" customHeight="1">
      <c r="A574" t="inlineStr">
        <is>
          <t>斯托卡赫铝业有限公司/Stockach Aluminium GmbH</t>
        </is>
      </c>
      <c r="B574" t="inlineStr">
        <is>
          <t>德国</t>
        </is>
      </c>
      <c r="C574" t="inlineStr">
        <is>
          <t>巴登-符腾堡州</t>
        </is>
      </c>
      <c r="D574" t="inlineStr">
        <is>
          <t>企业</t>
        </is>
      </c>
      <c r="E574" t="inlineStr">
        <is>
          <t>铝业</t>
        </is>
      </c>
      <c r="F574" t="inlineStr">
        <is>
          <t>德国 斯托卡赫能青格街 15–17 号邮编：78333</t>
        </is>
      </c>
      <c r="G574" s="2" t="str">
        <f>=HYPERLINK("http://www.scholzalu.com/", "http://www.scholzalu.com")</f>
        <v>http://www.scholzalu.com</v>
      </c>
      <c r="H574" t="inlineStr">
        <is>
          <t>斯托卡赫铝业有限公司（Stockach Aluminium GmbH）专注于铝回收与铝合金生产，通过专业熔炼工艺将铝废料转化为高品质铝合金铸锭，是欧洲领先的再生铝及铝合金供应商，助力铝行业绿色可持续发展。</t>
        </is>
      </c>
      <c r="I574" t="inlineStr">
        <is>
          <t>Frau Burcin Üstün</t>
        </is>
      </c>
      <c r="J574"/>
      <c r="K574"/>
      <c r="L574" s="2" t="str">
        <f>=HYPERLINK("mailto:burcin.uestuen@stockachalu.com", "burcin.uestuen@stockachalu.com")</f>
        <v>burcin.uestuen@stockachalu.com</v>
      </c>
      <c r="M574" t="inlineStr">
        <is>
          <t>+49 7771 9306-0</t>
        </is>
      </c>
      <c r="N574" s="3">
        <v>46090</v>
      </c>
      <c r="O574" t="inlineStr">
        <is>
          <t>已联系未回复</t>
        </is>
      </c>
      <c r="P574"/>
      <c r="Q574" t="inlineStr">
        <is>
          <t>上海铝业协会-德国奥地利匈牙利</t>
        </is>
      </c>
      <c r="R574"/>
      <c r="S574"/>
      <c r="T574"/>
    </row>
    <row r="575" ht="25.5" customHeight="1">
      <c r="A575" t="inlineStr">
        <is>
          <t>美乔铝业有限公司/mejo Aluminium GmbH</t>
        </is>
      </c>
      <c r="B575" t="inlineStr">
        <is>
          <t>奥地利</t>
        </is>
      </c>
      <c r="C575" t="inlineStr">
        <is>
          <t>维也纳</t>
        </is>
      </c>
      <c r="D575" t="inlineStr">
        <is>
          <t>企业</t>
        </is>
      </c>
      <c r="E575" t="inlineStr">
        <is>
          <t>铝业</t>
        </is>
      </c>
      <c r="F575" t="inlineStr">
        <is>
          <t>维也纳展览街 50/C/2楼
AT-1020</t>
        </is>
      </c>
      <c r="G575" s="2" t="str">
        <f>=HYPERLINK("https://mejo.de/", "https://mejo.de/")</f>
        <v>https://mejo.de/</v>
      </c>
      <c r="H575" t="inlineStr">
        <is>
          <t>美乔铝业有限公司是一家专注于铝合金产品加工与制造的德国企业。公司业务核心围绕铝型材的深加工，涉及锯切、钻孔、铣削、组装等精密工艺，为下游行业提供定制化的铝制部件和解决方案。其主要客户和应用于机械设备制造、自动化技术、展览展示系统以及高端家具等领域。作为一家典型的德国“中型企业”（Mittelstand），mejo Aluminium 以灵活的服务、可靠的精度和质量控制见长，致力于成为客户供应链中值得信赖的铝材加工合作伙伴。</t>
        </is>
      </c>
      <c r="I575"/>
      <c r="J575"/>
      <c r="K575"/>
      <c r="L575" s="2" t="str">
        <f>=HYPERLINK("mailto:wien@mejo.de", "wien@mejo.de")</f>
        <v>wien@mejo.de</v>
      </c>
      <c r="M575" t="inlineStr">
        <is>
          <t>+43 1 2264421–10</t>
        </is>
      </c>
      <c r="N575" s="3">
        <v>46090</v>
      </c>
      <c r="O575" t="inlineStr">
        <is>
          <t>已联系未回复</t>
        </is>
      </c>
      <c r="P575"/>
      <c r="Q575" t="inlineStr">
        <is>
          <t>上海铝业协会-德国奥地利匈牙利</t>
        </is>
      </c>
      <c r="R575"/>
      <c r="S575"/>
      <c r="T575"/>
    </row>
    <row r="576" ht="25.5" customHeight="1">
      <c r="A576" t="inlineStr">
        <is>
          <t>GEWA钣金技术有限公司/GEWA Blechtechnik GmbH</t>
        </is>
      </c>
      <c r="B576" t="inlineStr">
        <is>
          <t>奥地利</t>
        </is>
      </c>
      <c r="C576" t="inlineStr">
        <is>
          <t>里德镇</t>
        </is>
      </c>
      <c r="D576" t="inlineStr">
        <is>
          <t>企业</t>
        </is>
      </c>
      <c r="E576" t="inlineStr">
        <is>
          <t>铝业</t>
        </is>
      </c>
      <c r="F576" t="inlineStr">
        <is>
          <t>特劳恩基兴地区里德镇，福伊茨多夫街7号，邮编4551</t>
        </is>
      </c>
      <c r="G576" s="2" t="str">
        <f>=HYPERLINK("https://www.gewa.at/info_sites/abkanten.html?gad_source=1&amp;gad_campaignid=1585986163&amp;gbraid=0AAAAADf4PqfMCrTQMvvFaMISfOdQ6Pjpn&amp;gclid=EAIaIQobChMIzby6gfLLkgMVqm0PAh1HpxbkEAAYAyAAEgL9wPD_BwE", "https://www.gewa.at/info_sites/abkanten.html?gad_source=1&amp;gad_campaignid=1585986163&amp;gbraid=0AAAAADf4PqfMCrTQMvvFaMISfOdQ6Pjpn&amp;gclid=EAIaIQobChMIzby6gfLLkgMVqm0PAh1HpxbkEAAYAyAAEgL9wPD_BwE")</f>
        <v>https://www.gewa.at/info_sites/abkanten.html?gad_source=1&amp;gad_campaignid=1585986163&amp;gbraid=0AAAAADf4PqfMCrTQMvvFaMISfOdQ6Pjpn&amp;gclid=EAIaIQobChMIzby6gfLLkgMVqm0PAh1HpxbkEAAYAyAAEgL9wPD_BwE</v>
      </c>
      <c r="H576" t="inlineStr">
        <is>
          <t>GEWA钣金技术有限公司是德国钣金加工与机箱机柜制造领域的专业供应商。公司拥有从数控冲压、激光切割、折弯到焊接、喷涂的完整工艺链，能够生产高精度的控制柜、开关柜、服务器机柜、设备外壳及定制化钣金件。其产品以坚固耐用、工艺精湛著称，广泛应用于工业自动化、能源技术、轨道交通、信息技术（数据中心）和医疗工程等对设备外壳有高标准要求的行业。GEWA代表了德国在金属板材加工领域的尖端制造能力和工程化水平。</t>
        </is>
      </c>
      <c r="I576"/>
      <c r="J576"/>
      <c r="K576"/>
      <c r="L576" s="2" t="str">
        <f>=HYPERLINK("mailto:info@gewa.at", "info@gewa.at")</f>
        <v>info@gewa.at</v>
      </c>
      <c r="M576"/>
      <c r="N576" s="3">
        <v>46090</v>
      </c>
      <c r="O576" t="inlineStr">
        <is>
          <t>已联系未回复</t>
        </is>
      </c>
      <c r="P576"/>
      <c r="Q576" t="inlineStr">
        <is>
          <t>上海铝业协会-德国奥地利匈牙利</t>
        </is>
      </c>
      <c r="R576"/>
      <c r="S576"/>
      <c r="T576"/>
    </row>
    <row r="577" ht="25.5" customHeight="1">
      <c r="A577" t="inlineStr">
        <is>
          <t>费尔德集团/FELDER Group</t>
        </is>
      </c>
      <c r="B577" t="inlineStr">
        <is>
          <t>奥地利</t>
        </is>
      </c>
      <c r="C577" t="inlineStr">
        <is>
          <t>哈尔镇</t>
        </is>
      </c>
      <c r="D577" t="inlineStr">
        <is>
          <t>企业</t>
        </is>
      </c>
      <c r="E577" t="inlineStr">
        <is>
          <t>铝业</t>
        </is>
      </c>
      <c r="F577" t="inlineStr">
        <is>
          <t>奥地利，蒂罗尔州哈尔镇，KR-费尔德街1号，邮编6060</t>
        </is>
      </c>
      <c r="G577" s="2" t="str">
        <f>=HYPERLINK("https://www.felder-group.com/en-jp", "https://www.felder-group.com/en-jp")</f>
        <v>https://www.felder-group.com/en-jp</v>
      </c>
      <c r="H577" t="inlineStr">
        <is>
          <t>费尔德集团是全球领先的木工机械制造商，总部位于奥地利（在德国等地设有重要分支）。集团旗下拥有 FELDER 和 HOLZ-HER 两大知名品牌，产品线覆盖从高品质家用手工刨床、台式锯到大型数控加工中心的全系列木工设备。集团以“奥地利制造”的卓越品质、创新的技术（如无尘切割技术）和模块化设计闻名于世，其设备服务于全球的专业木匠、手工艺作坊、大型家具厂以及教育机构。费尔德集团致力于为从爱好者到工业级生产的整个木工行业提供提升效率与精度的解决方案。</t>
        </is>
      </c>
      <c r="I577"/>
      <c r="J577"/>
      <c r="K577"/>
      <c r="L577" s="2" t="str">
        <f>=HYPERLINK("mailto:info@felder-group.com", "info@felder-group.com")</f>
        <v>info@felder-group.com</v>
      </c>
      <c r="M577" t="inlineStr">
        <is>
          <t>+43 5223 58500</t>
        </is>
      </c>
      <c r="N577" s="3">
        <v>46090</v>
      </c>
      <c r="O577" t="inlineStr">
        <is>
          <t>已联系未回复</t>
        </is>
      </c>
      <c r="P577"/>
      <c r="Q577" t="inlineStr">
        <is>
          <t>上海铝业协会-德国奥地利匈牙利</t>
        </is>
      </c>
      <c r="R577"/>
      <c r="S577"/>
      <c r="T577"/>
    </row>
    <row r="578" ht="25.5" customHeight="1">
      <c r="A578" t="inlineStr">
        <is>
          <t>埃布纳集团/EBNER Group</t>
        </is>
      </c>
      <c r="B578" t="inlineStr">
        <is>
          <t>奥地利</t>
        </is>
      </c>
      <c r="C578" t="inlineStr">
        <is>
          <t>莱昂丁</t>
        </is>
      </c>
      <c r="D578" t="inlineStr">
        <is>
          <t>企业</t>
        </is>
      </c>
      <c r="E578" t="inlineStr">
        <is>
          <t>铝业</t>
        </is>
      </c>
      <c r="F578" t="inlineStr">
        <is>
          <t>奥地利 莱昂丁市 埃布纳广场 1 号</t>
        </is>
      </c>
      <c r="G578" s="2" t="str">
        <f>=HYPERLINK("https://www.ebnergroup.cc/", "https://www.ebnergroup.cc")</f>
        <v>https://www.ebnergroup.cc</v>
      </c>
      <c r="H578" t="inlineStr">
        <is>
          <t>埃布纳集团（EBNER Group）是全球领先的热处理设备制造商，核心聚焦铝及有色金属热处理领域，提供铝加工全流程热处理解决方案，其设备广泛应用于铝合金熔炼、轧制、挤压等环节，凭借专业技术与可靠品质，成为铝及有色金属加工行业的核心设备合作伙伴。</t>
        </is>
      </c>
      <c r="I578"/>
      <c r="J578"/>
      <c r="K578"/>
      <c r="L578" s="2" t="str">
        <f>=HYPERLINK("mailto:office@ebner.cc", "office@ebner.cc")</f>
        <v>office@ebner.cc</v>
      </c>
      <c r="M578" t="inlineStr">
        <is>
          <t>+43 732 6868</t>
        </is>
      </c>
      <c r="N578" s="3">
        <v>46090</v>
      </c>
      <c r="O578" t="inlineStr">
        <is>
          <t>已联系未回复</t>
        </is>
      </c>
      <c r="P578"/>
      <c r="Q578" t="inlineStr">
        <is>
          <t>上海铝业协会-德国奥地利匈牙利</t>
        </is>
      </c>
      <c r="R578"/>
      <c r="S578"/>
      <c r="T578"/>
    </row>
    <row r="579" ht="25.5" customHeight="1">
      <c r="A579" t="inlineStr">
        <is>
          <t>奥地利铸造师协会/Association of Austrian Foundrymen, VÖG</t>
        </is>
      </c>
      <c r="B579" t="inlineStr">
        <is>
          <t>奥地利</t>
        </is>
      </c>
      <c r="C579" t="inlineStr">
        <is>
          <t>维也纳</t>
        </is>
      </c>
      <c r="D579" t="inlineStr">
        <is>
          <t>协会</t>
        </is>
      </c>
      <c r="E579" t="inlineStr">
        <is>
          <t>铝业</t>
        </is>
      </c>
      <c r="F579" t="inlineStr">
        <is>
          <t>奥地利维也纳市维德纳主大街63号，邮政编码1045</t>
        </is>
      </c>
      <c r="G579" s="2" t="str">
        <f>=HYPERLINK("https://www.castingarea.com/societies/vog.htm", "https://www.castingarea.com/societies/vog.htm")</f>
        <v>https://www.castingarea.com/societies/vog.htm</v>
      </c>
      <c r="H579" t="inlineStr">
        <is>
          <t>奥地利铸造师协会（VÖG）是奥地利铸造行业的核心权威机构，聚焦铝、铸铁、特殊钢等金属铸造领域，汇聚行业专业人才与企业资源，主导铸造技术研发、行业标准制定与技能培训，重点推动铝及轻金属铸造工艺优化、废旧金属铸件回收再利用，为金属铸造企业提供技术支持与行业对接服务，助力行业绿色可持续发展。</t>
        </is>
      </c>
      <c r="I579"/>
      <c r="J579"/>
      <c r="K579"/>
      <c r="L579" s="2" t="str">
        <f>=HYPERLINK("mailto:giesserei@wko.at", "giesserei@wko.at")</f>
        <v>giesserei@wko.at</v>
      </c>
      <c r="M579" t="inlineStr">
        <is>
          <t>+43 (0)590 900 3463</t>
        </is>
      </c>
      <c r="N579" s="3">
        <v>46090</v>
      </c>
      <c r="O579" t="inlineStr">
        <is>
          <t>已联系未回复</t>
        </is>
      </c>
      <c r="P579"/>
      <c r="Q579" t="inlineStr">
        <is>
          <t>上海铝业协会-德国奥地利匈牙利</t>
        </is>
      </c>
      <c r="R579"/>
      <c r="S579"/>
      <c r="T579"/>
    </row>
    <row r="580" ht="25.5" customHeight="1">
      <c r="A580" t="inlineStr">
        <is>
          <t>ASMET - 奥地利冶金与材料学会/ASMET - Austrian Society for Metallurgy and Materials</t>
        </is>
      </c>
      <c r="B580" t="inlineStr">
        <is>
          <t>奥地利</t>
        </is>
      </c>
      <c r="C580" t="inlineStr">
        <is>
          <t>莱奥本</t>
        </is>
      </c>
      <c r="D580" t="inlineStr">
        <is>
          <t>协会</t>
        </is>
      </c>
      <c r="E580" t="inlineStr">
        <is>
          <t>铝业</t>
        </is>
      </c>
      <c r="F580" t="inlineStr">
        <is>
          <t>弗朗茨·约瑟夫大街18号，奥地利莱奥本市，邮政编码8700</t>
        </is>
      </c>
      <c r="G580" s="2" t="str">
        <f>=HYPERLINK("https://asmet.org/?utm_source=Google_my_business", "https://asmet.org/?utm_source=Google_my_business")</f>
        <v>https://asmet.org/?utm_source=Google_my_business</v>
      </c>
      <c r="H580" t="inlineStr">
        <is>
          <t>ASMET（奥地利冶金与材料学会）是奥地利冶金与材料领域的顶尖学术与行业组织，成立于1968年，核心聚焦铝、特殊钢等金属材料的研发、冶金工艺创新与应用推广，涵盖金属材料性能改良、低碳冶金技术、废旧金属回收再利用等领域，搭建产学研合作平台，推动铝及各类金属材料在制造、工程等领域的高效、绿色应用。</t>
        </is>
      </c>
      <c r="I580"/>
      <c r="J580"/>
      <c r="K580"/>
      <c r="L580" s="2" t="str">
        <f>=HYPERLINK("mailto:asmet@asmet.at", "asmet@asmet.at")</f>
        <v>asmet@asmet.at</v>
      </c>
      <c r="M580" t="inlineStr">
        <is>
          <t>+43 3842 402 2290</t>
        </is>
      </c>
      <c r="N580" s="3">
        <v>46090</v>
      </c>
      <c r="O580" t="inlineStr">
        <is>
          <t>已联系未回复</t>
        </is>
      </c>
      <c r="P580"/>
      <c r="Q580" t="inlineStr">
        <is>
          <t>上海铝业协会-德国奥地利匈牙利</t>
        </is>
      </c>
      <c r="R580"/>
      <c r="S580"/>
      <c r="T580"/>
    </row>
    <row r="581" ht="25.5" customHeight="1">
      <c r="A581" t="inlineStr">
        <is>
          <t>奥钢联高性能金属有限公司 / voestalpine High Performance Metals GmbH</t>
        </is>
      </c>
      <c r="B581" t="inlineStr">
        <is>
          <t>奥地利</t>
        </is>
      </c>
      <c r="C581" t="inlineStr">
        <is>
          <t>维也纳</t>
        </is>
      </c>
      <c r="D581" t="inlineStr">
        <is>
          <t>企业</t>
        </is>
      </c>
      <c r="E581" t="inlineStr">
        <is>
          <t>铝业</t>
        </is>
      </c>
      <c r="F581" t="inlineStr">
        <is>
          <t>DC塔，奥地利维也纳市多瑙城大街7号，邮政编码1220</t>
        </is>
      </c>
      <c r="G581" s="2" t="str">
        <f>=HYPERLINK("https://www.voestalpine.com/highperformancemetals/international/en/", "https://www.voestalpine.com/highperformancemetals/international/en/")</f>
        <v>https://www.voestalpine.com/highperformancemetals/international/en/</v>
      </c>
      <c r="H581" t="inlineStr">
        <is>
          <t>奥钢联高性能金属有限公司是奥地利顶级金属制造企业，隶属于奥钢联集团，专注于高性能金属材料的生产、加工与销售，核心涵盖铝合金、特殊钢、镍基合金等产品，拥有从原材料加工到成品交付的全产业链布局，擅长铝及特殊金属的精密加工与定制化生产，同时注重废旧金属回收利用，践行绿色制造理念，服务全球汽车、航空航天等多个行业。</t>
        </is>
      </c>
      <c r="I581"/>
      <c r="J581"/>
      <c r="K581"/>
      <c r="L581" s="2" t="str">
        <f>=HYPERLINK("mailto:office.hpm_international@voestalpine.com", "office.hpm_international@voestalpine.com")</f>
        <v>office.hpm_international@voestalpine.com</v>
      </c>
      <c r="M581" t="inlineStr">
        <is>
          <t>+43/50304/30-23100</t>
        </is>
      </c>
      <c r="N581" s="3">
        <v>46090</v>
      </c>
      <c r="O581" t="inlineStr">
        <is>
          <t>已联系未回复</t>
        </is>
      </c>
      <c r="P581"/>
      <c r="Q581" t="inlineStr">
        <is>
          <t>上海铝业协会-德国奥地利匈牙利</t>
        </is>
      </c>
      <c r="R581"/>
      <c r="S581"/>
      <c r="T581"/>
    </row>
    <row r="582" ht="25.5" customHeight="1">
      <c r="A582" t="inlineStr">
        <is>
          <t>奥钢联高性能金属国际有限公司 / voestalpine High Performance Metals International GmbH</t>
        </is>
      </c>
      <c r="B582" t="inlineStr">
        <is>
          <t>奥地利</t>
        </is>
      </c>
      <c r="C582" t="inlineStr">
        <is>
          <t>维也纳</t>
        </is>
      </c>
      <c r="D582" t="inlineStr">
        <is>
          <t>企业</t>
        </is>
      </c>
      <c r="E582" t="inlineStr">
        <is>
          <t>铝业</t>
        </is>
      </c>
      <c r="F582" t="inlineStr">
        <is>
          <t>DC塔，奥地利维也纳市多瑙城大街7号，邮政编码1220</t>
        </is>
      </c>
      <c r="G582" s="2" t="str">
        <f>=HYPERLINK("https://www.voestalpine.com/highperformancemetals/international/en/global-locations/", "https://www.voestalpine.com/highperformancemetals/international/en/global-locations/")</f>
        <v>https://www.voestalpine.com/highperformancemetals/international/en/global-locations/</v>
      </c>
      <c r="H582" t="inlineStr">
        <is>
          <t>奥钢联高性能金属国际有限公司是奥钢联高性能金属板块的国际业务主体，聚焦铝、特殊钢等高性能金属的全球贸易与跨国合作，依托全球销售与服务网络，推动奥地利本土铝及金属制品出口、国际废旧金属回收与再加工业务，为全球客户提供铝及金属材料的采购、定制、物流一体化服务，助力跨国金属制造与回收合作落地。</t>
        </is>
      </c>
      <c r="I582"/>
      <c r="J582"/>
      <c r="K582"/>
      <c r="L582" s="2" t="str">
        <f>=HYPERLINK("mailto:office.hpm_international@voestalpine.com", "office.hpm_international@voestalpine.com")</f>
        <v>office.hpm_international@voestalpine.com</v>
      </c>
      <c r="M582" t="inlineStr">
        <is>
          <t>+43/50304/30-23100</t>
        </is>
      </c>
      <c r="N582" s="3">
        <v>46090</v>
      </c>
      <c r="O582" t="inlineStr">
        <is>
          <t>已联系未回复</t>
        </is>
      </c>
      <c r="P582"/>
      <c r="Q582" t="inlineStr">
        <is>
          <t>上海铝业协会-德国奥地利匈牙利</t>
        </is>
      </c>
      <c r="R582"/>
      <c r="S582"/>
      <c r="T582"/>
    </row>
    <row r="583" ht="25.5" customHeight="1">
      <c r="A583" t="inlineStr">
        <is>
          <t>普瑞法公司 / PREFA（PREFA公司）</t>
        </is>
      </c>
      <c r="B583" t="inlineStr">
        <is>
          <t>奥地利</t>
        </is>
      </c>
      <c r="C583" t="inlineStr">
        <is>
          <t>利林费尔德</t>
        </is>
      </c>
      <c r="D583" t="inlineStr">
        <is>
          <t>企业</t>
        </is>
      </c>
      <c r="E583" t="inlineStr">
        <is>
          <t>铝业</t>
        </is>
      </c>
      <c r="F583" t="inlineStr">
        <is>
          <t>奥地利利林费尔德市工厂大街1号，邮政编码3180</t>
        </is>
      </c>
      <c r="G583" s="2" t="str">
        <f>=HYPERLINK("https://www.prefa.at/", "https://www.prefa.at/")</f>
        <v>https://www.prefa.at/</v>
      </c>
      <c r="H583" t="inlineStr">
        <is>
          <t>普瑞法公司（PREFA）是奥地利知名金属制造企业，核心专注于铝制品的研发、生产与应用，主打铝制屋面、墙面系统及铝制构件，采用高品质铝合金原材料，注重生产过程中的节能降耗与废旧铝制品回收再利用，其铝制产品凭借轻量化、耐腐蚀、可回收的优势，广泛应用于建筑、新能源等领域，是奥地利铝加工行业的标杆企业之一。</t>
        </is>
      </c>
      <c r="I583" t="inlineStr">
        <is>
          <t>Mr. Gerald Cech</t>
        </is>
      </c>
      <c r="J583" t="inlineStr">
        <is>
          <t>销售</t>
        </is>
      </c>
      <c r="K583"/>
      <c r="L583" s="2" t="str">
        <f>=HYPERLINK("mailto:verkauf-mitte.at@prefa.com", "verkauf-mitte.at@prefa.com")</f>
        <v>verkauf-mitte.at@prefa.com</v>
      </c>
      <c r="M583" t="inlineStr">
        <is>
          <t>+43 2762 502</t>
        </is>
      </c>
      <c r="N583" s="3">
        <v>46090</v>
      </c>
      <c r="O583" t="inlineStr">
        <is>
          <t>已联系未回复</t>
        </is>
      </c>
      <c r="P583"/>
      <c r="Q583" t="inlineStr">
        <is>
          <t>上海铝业协会-德国奥地利匈牙利</t>
        </is>
      </c>
      <c r="R583"/>
      <c r="S583"/>
      <c r="T583"/>
    </row>
    <row r="584" ht="25.5" customHeight="1">
      <c r="A584" t="inlineStr">
        <is>
          <t>艾索金属贸易有限公司 / ISO-Metallhandels GmbH</t>
        </is>
      </c>
      <c r="B584" t="inlineStr">
        <is>
          <t>奥地利</t>
        </is>
      </c>
      <c r="C584" t="inlineStr">
        <is>
          <t>维也纳</t>
        </is>
      </c>
      <c r="D584" t="inlineStr">
        <is>
          <t>企业</t>
        </is>
      </c>
      <c r="E584" t="inlineStr">
        <is>
          <t>铝业</t>
        </is>
      </c>
      <c r="F584" t="inlineStr">
        <is>
          <t>施塔德劳尔大街 41A
1220 维也纳</t>
        </is>
      </c>
      <c r="G584" s="2" t="str">
        <f>=HYPERLINK("https://www.iso-metall.at/", "https://www.iso-metall.at/")</f>
        <v>https://www.iso-metall.at/</v>
      </c>
      <c r="H584" t="inlineStr">
        <is>
          <t>艾索金属贸易有限公司是奥地利专业的金属贸易与回收企业，聚焦铝、钢材等各类金属的采购、销售与废旧金属回收业务，主营铝锭、铝型材及各类废旧金属的回收、分拣与再加工，搭建金属供需对接与回收利用桥梁，规范废旧金属回收流程，助力金属资源循环利用，为金属制造企业提供稳定的原材料供应与废旧金属处理解决方案。</t>
        </is>
      </c>
      <c r="I584"/>
      <c r="J584"/>
      <c r="K584"/>
      <c r="L584" s="2" t="str">
        <f>=HYPERLINK("mailto:redzicgesmbh@a1.net", "redzicgesmbh@a1.net")</f>
        <v>redzicgesmbh@a1.net</v>
      </c>
      <c r="M584" t="inlineStr">
        <is>
          <t>+43 1 283 64 57</t>
        </is>
      </c>
      <c r="N584" s="3">
        <v>46090</v>
      </c>
      <c r="O584" t="inlineStr">
        <is>
          <t>已联系未回复</t>
        </is>
      </c>
      <c r="P584"/>
      <c r="Q584" t="inlineStr">
        <is>
          <t>上海铝业协会-德国奥地利匈牙利</t>
        </is>
      </c>
      <c r="R584"/>
      <c r="S584"/>
      <c r="T584"/>
    </row>
    <row r="585" ht="25.5" customHeight="1">
      <c r="A585" t="inlineStr">
        <is>
          <t>布劳恩施泰纳有限公司 / Braunsteiner GmbH</t>
        </is>
      </c>
      <c r="B585" t="inlineStr">
        <is>
          <t>奥地利</t>
        </is>
      </c>
      <c r="C585" t="inlineStr">
        <is>
          <t>基希贝格-特宁</t>
        </is>
      </c>
      <c r="D585" t="inlineStr">
        <is>
          <t>企业</t>
        </is>
      </c>
      <c r="E585" t="inlineStr">
        <is>
          <t>铝业</t>
        </is>
      </c>
      <c r="F585" t="inlineStr">
        <is>
          <t>上特宁格大街7号，基希贝格-特宁镇，邮政编码4062</t>
        </is>
      </c>
      <c r="G585" s="2" t="str">
        <f>=HYPERLINK("https://www.braunsteiner-gmbh.at/", "https://www.braunsteiner-gmbh.at/")</f>
        <v>https://www.braunsteiner-gmbh.at/</v>
      </c>
      <c r="H585" t="inlineStr">
        <is>
          <t>布劳恩施泰纳有限公司是奥地利本土金属加工与制造企业，深耕铝及各类金属的精密加工、零部件制造与废旧金属回收领域，擅长铝制品的定制化加工的同时，专注废旧铝、钢材等金属的回收分拣与再利用，优化金属资源利用效率，为汽车、机械制造等行业提供高品质铝制零部件与金属回收配套服务，兼具专业性与绿色环保理念。</t>
        </is>
      </c>
      <c r="I585"/>
      <c r="J585"/>
      <c r="K585"/>
      <c r="L585" s="2" t="str">
        <f>=HYPERLINK("mailto:office@braunsteiner-gmbh.at", "office@braunsteiner-gmbh.at")</f>
        <v>office@braunsteiner-gmbh.at</v>
      </c>
      <c r="M585" t="inlineStr">
        <is>
          <t>7221 64949-0</t>
        </is>
      </c>
      <c r="N585" s="3">
        <v>46090</v>
      </c>
      <c r="O585" t="inlineStr">
        <is>
          <t>已联系未回复</t>
        </is>
      </c>
      <c r="P585"/>
      <c r="Q585" t="inlineStr">
        <is>
          <t>上海铝业协会-德国奥地利匈牙利</t>
        </is>
      </c>
      <c r="R585"/>
      <c r="S585"/>
      <c r="T585"/>
    </row>
    <row r="586" ht="25.5" customHeight="1">
      <c r="A586" t="inlineStr">
        <is>
          <t>蒂芬巴赫有限公司 / Tiefenbacher GmbH</t>
        </is>
      </c>
      <c r="B586" t="inlineStr">
        <is>
          <t>奥地利</t>
        </is>
      </c>
      <c r="C586" t="inlineStr">
        <is>
          <t>恩斯多夫</t>
        </is>
      </c>
      <c r="D586" t="inlineStr">
        <is>
          <t>企业</t>
        </is>
      </c>
      <c r="E586" t="inlineStr">
        <is>
          <t>铝业</t>
        </is>
      </c>
      <c r="F586" t="inlineStr">
        <is>
          <t>恩斯多夫市经济园区大街3/6号 | 奥地利恩斯多夫市，邮政编码4482</t>
        </is>
      </c>
      <c r="G586" s="2" t="str">
        <f>=HYPERLINK("http://www.tibagmbh.at/", "http://www.tibagmbh.at/")</f>
        <v>http://www.tibagmbh.at/</v>
      </c>
      <c r="H586" t="inlineStr">
        <is>
          <t>蒂芬巴赫有限公司是奥地利专注于金属制造与回收的企业，核心业务涵盖铝及各类金属的加工、成型与废旧金属回收再利用，擅长铝型材、金属构件的生产加工，同时建立完善的废旧金属回收体系，对废旧铝制品进行分拣、加工、再利用，实现金属资源的循环流转，为金属制造行业提供绿色、高效的配套服务。</t>
        </is>
      </c>
      <c r="I586"/>
      <c r="J586"/>
      <c r="K586"/>
      <c r="L586" s="2" t="str">
        <f>=HYPERLINK("mailto:office@tibagmbh.at", "office@tibagmbh.at")</f>
        <v>office@tibagmbh.at</v>
      </c>
      <c r="M586" t="inlineStr">
        <is>
          <t>+43 7223 84 96 20</t>
        </is>
      </c>
      <c r="N586" s="3">
        <v>46090</v>
      </c>
      <c r="O586" t="inlineStr">
        <is>
          <t>已联系未回复</t>
        </is>
      </c>
      <c r="P586"/>
      <c r="Q586" t="inlineStr">
        <is>
          <t>上海铝业协会-德国奥地利匈牙利</t>
        </is>
      </c>
      <c r="R586"/>
      <c r="S586"/>
      <c r="T586"/>
    </row>
    <row r="587" ht="25.5" customHeight="1">
      <c r="A587" t="inlineStr">
        <is>
          <t>INOTAL 铝加工有限公司/INOTAL Aluminium Processing Ltd.</t>
        </is>
      </c>
      <c r="B587" t="inlineStr">
        <is>
          <t>匈牙利</t>
        </is>
      </c>
      <c r="C587" t="inlineStr">
        <is>
          <t>布达佩斯</t>
        </is>
      </c>
      <c r="D587" t="inlineStr">
        <is>
          <t>企业</t>
        </is>
      </c>
      <c r="E587" t="inlineStr">
        <is>
          <t>铝业</t>
        </is>
      </c>
      <c r="F587" t="inlineStr">
        <is>
          <t>匈牙利 1075 布达佩斯，马达赫・伊姆雷路 13-14 号</t>
        </is>
      </c>
      <c r="G587" s="2" t="str">
        <f>=HYPERLINK("https://inotal.hu/", "https://inotal.hu/")</f>
        <v>https://inotal.hu/</v>
      </c>
      <c r="H587" t="inlineStr">
        <is>
          <t>专注于铝线材、铝带、铝棒、冷焊带等铝深加工产品研发与生产，服务电气、钢铁、建筑等行业，依托数十年行业积淀与现代化设备，为中东欧市场提供稳定高品质铝加工材，是匈牙利本土重要的铝型材与铝线材制造商。</t>
        </is>
      </c>
      <c r="I587" t="inlineStr">
        <is>
          <t>Mr.Salamon András</t>
        </is>
      </c>
      <c r="J587"/>
      <c r="K587"/>
      <c r="L587" s="2" t="str">
        <f>=HYPERLINK("mailto:salamona@inotal.hu", "salamona@inotal.hu")</f>
        <v>salamona@inotal.hu</v>
      </c>
      <c r="M587" t="inlineStr">
        <is>
          <t>+36 1 5059770</t>
        </is>
      </c>
      <c r="N587" s="3">
        <v>46090</v>
      </c>
      <c r="O587" t="inlineStr">
        <is>
          <t>已联系未回复</t>
        </is>
      </c>
      <c r="P587"/>
      <c r="Q587" t="inlineStr">
        <is>
          <t>上海铝业协会-德国奥地利匈牙利</t>
        </is>
      </c>
      <c r="R587"/>
      <c r="S587"/>
      <c r="T587"/>
    </row>
    <row r="588" ht="25.5" customHeight="1">
      <c r="A588" t="inlineStr">
        <is>
          <t>奥托·福克斯有限公司/OTTO FUCHS KG</t>
        </is>
      </c>
      <c r="B588" t="inlineStr">
        <is>
          <t>匈牙利</t>
        </is>
      </c>
      <c r="C588" t="inlineStr">
        <is>
          <t>陶陶巴尼奥</t>
        </is>
      </c>
      <c r="D588" t="inlineStr">
        <is>
          <t>企业</t>
        </is>
      </c>
      <c r="E588" t="inlineStr">
        <is>
          <t>铝业</t>
        </is>
      </c>
      <c r="F588" t="inlineStr">
        <is>
          <t>奥托・福克斯匈牙利有限公司 匈牙利 2800 陶陶巴尼奥，布扎维劳格街 12 号</t>
        </is>
      </c>
      <c r="G588" s="2" t="str">
        <f>=HYPERLINK("http://www.otto-fuchs.com/", "http://www.otto-fuchs.com")</f>
        <v>http://www.otto-fuchs.com</v>
      </c>
      <c r="H588" t="inlineStr">
        <is>
          <t>全球领先的轻质合金精密锻造与挤压企业，核心生产铝合金、镁合金等轻金属部件，匈牙利子公司专注高端汽车铝合金轮毂与底盘锻件制造，以自动化产线与严苛质量标准，为豪华车企提供轻量化铝制零部件，是欧洲汽车铝轻量化核心供应商。</t>
        </is>
      </c>
      <c r="I588"/>
      <c r="J588"/>
      <c r="K588"/>
      <c r="L588" s="2" t="str">
        <f>=HYPERLINK("mailto:info.hu@otto-fuchs.hu", "info.hu@otto-fuchs.hu")</f>
        <v>info.hu@otto-fuchs.hu</v>
      </c>
      <c r="M588" t="inlineStr">
        <is>
          <t>+49 2354 736940</t>
        </is>
      </c>
      <c r="N588" s="3">
        <v>46090</v>
      </c>
      <c r="O588" t="inlineStr">
        <is>
          <t>已联系未回复</t>
        </is>
      </c>
      <c r="P588"/>
      <c r="Q588" t="inlineStr">
        <is>
          <t>上海铝业协会-德国奥地利匈牙利</t>
        </is>
      </c>
      <c r="R588"/>
      <c r="S588"/>
      <c r="T588"/>
    </row>
    <row r="589" ht="25.5" customHeight="1">
      <c r="A589" t="inlineStr">
        <is>
          <t>匈牙利国家矿业协会/Országos Magyar Bányászati és Kohászati Egyesület</t>
        </is>
      </c>
      <c r="B589" t="inlineStr">
        <is>
          <t>匈牙利</t>
        </is>
      </c>
      <c r="C589" t="inlineStr">
        <is>
          <t>布达佩斯</t>
        </is>
      </c>
      <c r="D589" t="inlineStr">
        <is>
          <t>协会</t>
        </is>
      </c>
      <c r="E589" t="inlineStr">
        <is>
          <t>铝业</t>
        </is>
      </c>
      <c r="F589" t="inlineStr">
        <is>
          <t>匈牙利 1107 布达佩斯，希兹拉洛广场</t>
        </is>
      </c>
      <c r="G589" s="2" t="str">
        <f>=HYPERLINK("https://ombke.hu/", "https://ombke.hu/")</f>
        <v>https://ombke.hu/</v>
      </c>
      <c r="H589" t="inlineStr">
        <is>
          <t>匈牙利矿业与冶金领域权威行业组织，统筹铝土矿开采、铝冶炼、金属加工全产业链协调，推动铝行业技术升级、标准制定与政策对接，联结本土铝企与国际资源，助力匈牙利铝产业可持续发展与国际合作。</t>
        </is>
      </c>
      <c r="I589"/>
      <c r="J589"/>
      <c r="K589"/>
      <c r="L589" s="2" t="str">
        <f>=HYPERLINK("mailto:ombke@ombkenet.hu", "ombke@ombkenet.hu")</f>
        <v>ombke@ombkenet.hu</v>
      </c>
      <c r="M589" t="inlineStr">
        <is>
          <t>+36-1-201-7337</t>
        </is>
      </c>
      <c r="N589" s="3">
        <v>46090</v>
      </c>
      <c r="O589" t="inlineStr">
        <is>
          <t>已联系未回复</t>
        </is>
      </c>
      <c r="P589"/>
      <c r="Q589" t="inlineStr">
        <is>
          <t>上海铝业协会-德国奥地利匈牙利</t>
        </is>
      </c>
      <c r="R589"/>
      <c r="S589"/>
      <c r="T589"/>
    </row>
    <row r="590" ht="25.5" customHeight="1">
      <c r="A590" t="inlineStr">
        <is>
          <t>匈牙利铸造协会/Association of Hungarian Foundries</t>
        </is>
      </c>
      <c r="B590" t="inlineStr">
        <is>
          <t>匈牙利</t>
        </is>
      </c>
      <c r="C590" t="inlineStr">
        <is>
          <t>布达佩斯</t>
        </is>
      </c>
      <c r="D590" t="inlineStr">
        <is>
          <t>协会</t>
        </is>
      </c>
      <c r="E590" t="inlineStr">
        <is>
          <t>铝业</t>
        </is>
      </c>
      <c r="F590" t="inlineStr">
        <is>
          <t>匈牙利 1211 布达佩斯，恩托德街 10 号</t>
        </is>
      </c>
      <c r="G590" s="2" t="str">
        <f>=HYPERLINK("https://foundry.hu/en/", "https://foundry.hu/en/")</f>
        <v>https://foundry.hu/en/</v>
      </c>
      <c r="H590" t="inlineStr">
        <is>
          <t>匈牙利铸造业全国性核心协会，覆盖铝铸造、轻金属压铸全领域，主导行业技术交流、质量认证与市场对接，为铝铸造企业提供工艺升级、设备更新与国际贸易支持，是匈牙利铝铸件产业发展的重要推动平台。</t>
        </is>
      </c>
      <c r="I590"/>
      <c r="J590"/>
      <c r="K590"/>
      <c r="L590" s="2" t="str">
        <f>=HYPERLINK("mailto:info@gl-europ.com", "info@gl-europ.com")</f>
        <v>info@gl-europ.com</v>
      </c>
      <c r="M590" t="inlineStr">
        <is>
          <t>+36309545-146</t>
        </is>
      </c>
      <c r="N590" s="3">
        <v>46090</v>
      </c>
      <c r="O590" t="inlineStr">
        <is>
          <t>已联系未回复</t>
        </is>
      </c>
      <c r="P590"/>
      <c r="Q590" t="inlineStr">
        <is>
          <t>上海铝业协会-德国奥地利匈牙利</t>
        </is>
      </c>
      <c r="R590"/>
      <c r="S590"/>
      <c r="T590"/>
    </row>
    <row r="591" ht="25.5" customHeight="1">
      <c r="A591" t="inlineStr">
        <is>
          <t>铝铸造支持公司/Alu Casting Support Ltd</t>
        </is>
      </c>
      <c r="B591" t="inlineStr">
        <is>
          <t>匈牙利</t>
        </is>
      </c>
      <c r="C591" t="inlineStr">
        <is>
          <t>埃格尔</t>
        </is>
      </c>
      <c r="D591" t="inlineStr">
        <is>
          <t>企业</t>
        </is>
      </c>
      <c r="E591" t="inlineStr">
        <is>
          <t>铝业</t>
        </is>
      </c>
      <c r="F591" t="inlineStr">
        <is>
          <t>匈牙利 3300 埃格尔，基什陶洛伊路 18 号</t>
        </is>
      </c>
      <c r="G591" s="2" t="str">
        <f>=HYPERLINK("https://foundry.hu/en/category/light-metal-foundries/?orderby=title&amp;order=asc", "https://foundry.hu/en/category/light-metal-foundries/?orderby=title&amp;order=asc")</f>
        <v>https://foundry.hu/en/category/light-metal-foundries/?orderby=title&amp;order=asc</v>
      </c>
      <c r="H591" t="inlineStr">
        <is>
          <t>专注轻金属铸造与铝合金技术服务，主营铝合金熔炼、砂型铸造、压铸工艺支持与合金配方研发，为汽车、机械行业提供高品质铝铸件及配套技术解决方案，以专业能力支撑匈牙利中小铝铸造企业提质增效。</t>
        </is>
      </c>
      <c r="I591"/>
      <c r="J591"/>
      <c r="K591"/>
      <c r="L591" s="2" t="str">
        <f>=HYPERLINK("mailto:info@alucasting.hu", "info@alucasting.hu")</f>
        <v>info@alucasting.hu</v>
      </c>
      <c r="M591" t="inlineStr">
        <is>
          <t>0036 36 515 235</t>
        </is>
      </c>
      <c r="N591" s="3">
        <v>46090</v>
      </c>
      <c r="O591" t="inlineStr">
        <is>
          <t>已联系未回复</t>
        </is>
      </c>
      <c r="P591"/>
      <c r="Q591" t="inlineStr">
        <is>
          <t>上海铝业协会-德国奥地利匈牙利</t>
        </is>
      </c>
      <c r="R591"/>
      <c r="S591"/>
      <c r="T591"/>
    </row>
    <row r="592" ht="25.5" customHeight="1">
      <c r="A592" t="inlineStr">
        <is>
          <t>ALU-ÖNTŐ 金属铸造和金属加工工业和贸易有限公司/ALU-ÖNTŐ Fémöntő és Fémmegmunkáló Ipari és Kereskedelmi Ltd</t>
        </is>
      </c>
      <c r="B592" t="inlineStr">
        <is>
          <t>匈牙利</t>
        </is>
      </c>
      <c r="C592" t="inlineStr">
        <is>
          <t>特克尔</t>
        </is>
      </c>
      <c r="D592" t="inlineStr">
        <is>
          <t>企业</t>
        </is>
      </c>
      <c r="E592" t="inlineStr">
        <is>
          <t>铝业</t>
        </is>
      </c>
      <c r="F592" t="inlineStr">
        <is>
          <t>匈牙利 2316 特克尔，拉克采维街 8 号</t>
        </is>
      </c>
      <c r="G592" s="2" t="str">
        <f>=HYPERLINK("https://www.alu-onto.hu/", "https://www.alu-onto.hu/")</f>
        <v>https://www.alu-onto.hu/</v>
      </c>
      <c r="H592" t="inlineStr">
        <is>
          <t>匈牙利老牌铝铸造与金属加工企业，专注铝合金砂型铸造、压铸及精密机加工，产品覆盖汽车、能源、机械装备领域，具备薄壁铝铸件定制生产能力，以稳定工艺与快速交付服务欧洲工业客户。</t>
        </is>
      </c>
      <c r="I592"/>
      <c r="J592"/>
      <c r="K592"/>
      <c r="L592" s="2" t="str">
        <f>=HYPERLINK("mailto:casting@alu-onto.hu", "casting@alu-onto.hu")</f>
        <v>casting@alu-onto.hu</v>
      </c>
      <c r="M592" t="inlineStr">
        <is>
          <t>+36 24 531 830</t>
        </is>
      </c>
      <c r="N592" s="3">
        <v>46090</v>
      </c>
      <c r="O592" t="inlineStr">
        <is>
          <t>已联系未回复</t>
        </is>
      </c>
      <c r="P592"/>
      <c r="Q592" t="inlineStr">
        <is>
          <t>上海铝业协会-德国奥地利匈牙利</t>
        </is>
      </c>
      <c r="R592"/>
      <c r="S592"/>
      <c r="T592"/>
    </row>
    <row r="593" ht="25.5" customHeight="1">
      <c r="A593" t="inlineStr">
        <is>
          <t>塞尔塔锁具制造、压铸及模具有限公司/CERTA Zárgyártó, Présöntő és Szerszámkészítő Ltd</t>
        </is>
      </c>
      <c r="B593" t="inlineStr">
        <is>
          <t>匈牙利</t>
        </is>
      </c>
      <c r="C593" t="inlineStr">
        <is>
          <t>沙托劳尔尧乌伊海伊</t>
        </is>
      </c>
      <c r="D593" t="inlineStr">
        <is>
          <t>企业</t>
        </is>
      </c>
      <c r="E593" t="inlineStr">
        <is>
          <t>铝业</t>
        </is>
      </c>
      <c r="F593" t="inlineStr">
        <is>
          <t>匈牙利 3980 沙托劳尔尧乌伊海伊，拜赖茨基街 18-28 号</t>
        </is>
      </c>
      <c r="G593" s="2" t="str">
        <f>=HYPERLINK("https://certa.hu/kapcsolat/", "https://certa.hu/kapcsolat/")</f>
        <v>https://certa.hu/kapcsolat/</v>
      </c>
      <c r="H593" t="inlineStr">
        <is>
          <t>专注铝合金压铸件、精密模具与金属锁具部件生产，以铝压铸工艺为核心，为五金、汽车、工控领域提供高精度铝制结构件，集模具开发、压铸、机加工于一体，是匈牙利本土铝压铸配套优质企业。</t>
        </is>
      </c>
      <c r="I593"/>
      <c r="J593"/>
      <c r="K593"/>
      <c r="L593" s="2" t="str">
        <f>=HYPERLINK("mailto:info.certa.hu@festo.com", "info.certa.hu@festo.com")</f>
        <v>info.certa.hu@festo.com</v>
      </c>
      <c r="M593" t="inlineStr">
        <is>
          <t>+36 47 / 525-200</t>
        </is>
      </c>
      <c r="N593" s="3">
        <v>46090</v>
      </c>
      <c r="O593" t="inlineStr">
        <is>
          <t>已联系未回复</t>
        </is>
      </c>
      <c r="P593"/>
      <c r="Q593" t="inlineStr">
        <is>
          <t>上海铝业协会-德国奥地利匈牙利</t>
        </is>
      </c>
      <c r="R593"/>
      <c r="S593"/>
      <c r="T593"/>
    </row>
    <row r="594" ht="25.5" customHeight="1">
      <c r="A594" t="inlineStr">
        <is>
          <t>乔鲍金属铸造有限公司/CSABA METÁL Öntödei Rt.</t>
        </is>
      </c>
      <c r="B594" t="inlineStr">
        <is>
          <t>匈牙利</t>
        </is>
      </c>
      <c r="C594" t="inlineStr">
        <is>
          <t>贝凯什乔包</t>
        </is>
      </c>
      <c r="D594" t="inlineStr">
        <is>
          <t>企业</t>
        </is>
      </c>
      <c r="E594" t="inlineStr">
        <is>
          <t>铝业</t>
        </is>
      </c>
      <c r="F594" t="inlineStr">
        <is>
          <t>匈牙利 5600 贝凯什乔包，凯雷克路 637 号</t>
        </is>
      </c>
      <c r="G594" s="2" t="str">
        <f>=HYPERLINK("https://www.csabametal.hu/", "https://www.csabametal.hu/")</f>
        <v>https://www.csabametal.hu/</v>
      </c>
      <c r="H594" t="inlineStr">
        <is>
          <t>匈牙利头部轻金属铸造企业，核心业务为铝合金高压压铸与精密机加工，主打汽车铝制零部件，长期为奥迪、宝马等国际车企供应铝压铸件，是中东欧汽车铝铸件核心 Tier 1/2 供应商。</t>
        </is>
      </c>
      <c r="I594"/>
      <c r="J594"/>
      <c r="K594"/>
      <c r="L594" s="2" t="str">
        <f>=HYPERLINK("mailto:csabametal@csabametal.hu", "csabametal@csabametal.hu")</f>
        <v>csabametal@csabametal.hu</v>
      </c>
      <c r="M594" t="inlineStr">
        <is>
          <t>+36 66 430 881</t>
        </is>
      </c>
      <c r="N594" s="3">
        <v>46090</v>
      </c>
      <c r="O594" t="inlineStr">
        <is>
          <t>已联系未回复</t>
        </is>
      </c>
      <c r="P594"/>
      <c r="Q594" t="inlineStr">
        <is>
          <t>上海铝业协会-德国奥地利匈牙利</t>
        </is>
      </c>
      <c r="R594"/>
      <c r="S594"/>
      <c r="T594"/>
    </row>
    <row r="595" ht="25.5" customHeight="1">
      <c r="A595" t="inlineStr">
        <is>
          <t>杜纳门蒂 CSZ 有限公司/DUNAMENTI CSZ Ltd</t>
        </is>
      </c>
      <c r="B595" t="inlineStr">
        <is>
          <t>匈牙利</t>
        </is>
      </c>
      <c r="C595" t="inlineStr">
        <is>
          <t>乔尔诺克</t>
        </is>
      </c>
      <c r="D595" t="inlineStr">
        <is>
          <t>企业</t>
        </is>
      </c>
      <c r="E595" t="inlineStr">
        <is>
          <t>铝业</t>
        </is>
      </c>
      <c r="F595" t="inlineStr">
        <is>
          <t>匈牙利 2521 乔尔诺克，森巴尼亚什科克路 32 号</t>
        </is>
      </c>
      <c r="G595" s="2" t="str">
        <f>=HYPERLINK("https://ontode-csolnok.hu/kapcsolat/", "https://ontode-csolnok.hu/kapcsolat/")</f>
        <v>https://ontode-csolnok.hu/kapcsolat/</v>
      </c>
      <c r="H595" t="inlineStr">
        <is>
          <t>专注有色金属铸造与铝制品加工，主营铝合金铸件、金属结构件生产，服务建筑、机械、汽车配套领域，以灵活定制化生产与稳定质量，为区域市场提供轻量化铝制零部件解决方案。</t>
        </is>
      </c>
      <c r="I595" t="inlineStr">
        <is>
          <t>Ms.Quintz Tutervai</t>
        </is>
      </c>
      <c r="J595" t="inlineStr">
        <is>
          <t>经济部门经理</t>
        </is>
      </c>
      <c r="K595"/>
      <c r="L595" s="2" t="str">
        <f>=HYPERLINK("mailto:quintz@csz.hu", "quintz@csz.hu")</f>
        <v>quintz@csz.hu</v>
      </c>
      <c r="M595" t="inlineStr">
        <is>
          <t>+36 33 506 690 / ext. 103.</t>
        </is>
      </c>
      <c r="N595" s="3">
        <v>46090</v>
      </c>
      <c r="O595" t="inlineStr">
        <is>
          <t>已联系未回复</t>
        </is>
      </c>
      <c r="P595"/>
      <c r="Q595" t="inlineStr">
        <is>
          <t>上海铝业协会-德国奥地利匈牙利</t>
        </is>
      </c>
      <c r="R595"/>
      <c r="S595"/>
      <c r="T595"/>
    </row>
    <row r="596" ht="25.5" customHeight="1">
      <c r="A596" t="inlineStr">
        <is>
          <t>杜纳金属铸造贸易有限公司/DUNAMETÁL Öntészeti és Kereskedelmi Ltd</t>
        </is>
      </c>
      <c r="B596" t="inlineStr">
        <is>
          <t>匈牙利</t>
        </is>
      </c>
      <c r="C596" t="inlineStr">
        <is>
          <t>格德</t>
        </is>
      </c>
      <c r="D596" t="inlineStr">
        <is>
          <t>企业</t>
        </is>
      </c>
      <c r="E596" t="inlineStr">
        <is>
          <t>铝业</t>
        </is>
      </c>
      <c r="F596" t="inlineStr">
        <is>
          <t>匈牙利 2131 格德，内梅什克里・基什・米克洛什街 33 号</t>
        </is>
      </c>
      <c r="G596" s="2" t="str">
        <f>=HYPERLINK("https://dunametal.hu/kapcsolat/", "https://dunametal.hu/kapcsolat/")</f>
        <v>https://dunametal.hu/kapcsolat/</v>
      </c>
      <c r="H596" t="inlineStr">
        <is>
          <t>集铝合金铸造、金属加工与贸易于一体，生产各类铝铸件、机械配件并开展铝原料进出口业务，衔接本土铝加工产能与欧洲市场需求，是匈牙利铝铸造领域重要的工贸一体化企业。</t>
        </is>
      </c>
      <c r="I596"/>
      <c r="J596"/>
      <c r="K596"/>
      <c r="L596" s="2" t="str">
        <f>=HYPERLINK("mailto:finance@dunametal.hu", "finance@dunametal.hu")</f>
        <v>finance@dunametal.hu</v>
      </c>
      <c r="M596" t="inlineStr">
        <is>
          <t>(36-30) 231-1892</t>
        </is>
      </c>
      <c r="N596" s="3">
        <v>46090</v>
      </c>
      <c r="O596" t="inlineStr">
        <is>
          <t>已联系未回复</t>
        </is>
      </c>
      <c r="P596"/>
      <c r="Q596" t="inlineStr">
        <is>
          <t>上海铝业协会-德国奥地利匈牙利</t>
        </is>
      </c>
      <c r="R596"/>
      <c r="S596"/>
      <c r="T596"/>
    </row>
    <row r="597" ht="25.5" customHeight="1">
      <c r="A597" t="inlineStr">
        <is>
          <t>埃切里生产、服务与贸易有限公司/ECSERI Termelő, Szolgáltató és Kereskedelmi Ltd</t>
        </is>
      </c>
      <c r="B597" t="inlineStr">
        <is>
          <t>匈牙利</t>
        </is>
      </c>
      <c r="C597" t="inlineStr">
        <is>
          <t>采格莱德</t>
        </is>
      </c>
      <c r="D597" t="inlineStr">
        <is>
          <t>企业</t>
        </is>
      </c>
      <c r="E597" t="inlineStr">
        <is>
          <t>铝业</t>
        </is>
      </c>
      <c r="F597" t="inlineStr">
        <is>
          <t>匈牙利 2700 采格莱德，工业园区路 25 号</t>
        </is>
      </c>
      <c r="G597" s="2" t="str">
        <f>=HYPERLINK("https://www.ecserikft.hu/", "https://www.ecserikft.hu/")</f>
        <v>https://www.ecserikft.hu/</v>
      </c>
      <c r="H597" t="inlineStr">
        <is>
          <t>专注高压铝压铸产品生产与加工，主营汽车、家电用铝合金精密部件，依托成熟压铸工艺与质量管控，为下游组装企业提供高一致性铝铸件，是匈牙利本土铝压铸细分领域稳定供应商。</t>
        </is>
      </c>
      <c r="I597"/>
      <c r="J597"/>
      <c r="K597"/>
      <c r="L597" s="2" t="str">
        <f>=HYPERLINK("mailto:ferenc.ecseri@ecserikft.hu", "ferenc.ecseri@ecserikft.hu")</f>
        <v>ferenc.ecseri@ecserikft.hu</v>
      </c>
      <c r="M597"/>
      <c r="N597" s="3">
        <v>46090</v>
      </c>
      <c r="O597" t="inlineStr">
        <is>
          <t>已联系未回复</t>
        </is>
      </c>
      <c r="P597"/>
      <c r="Q597" t="inlineStr">
        <is>
          <t>上海铝业协会-德国奥地利匈牙利</t>
        </is>
      </c>
      <c r="R597"/>
      <c r="S597"/>
      <c r="T597"/>
    </row>
    <row r="598" ht="25.5" customHeight="1">
      <c r="A598" t="inlineStr">
        <is>
          <t>费马尔克金属铸造零部件制造股份公司/FÉMALK Fémöntészeti Alkatrészgyártó PLC</t>
        </is>
      </c>
      <c r="B598" t="inlineStr">
        <is>
          <t>匈牙利</t>
        </is>
      </c>
      <c r="C598" t="inlineStr">
        <is>
          <t>布达佩斯</t>
        </is>
      </c>
      <c r="D598" t="inlineStr">
        <is>
          <t>企业</t>
        </is>
      </c>
      <c r="E598" t="inlineStr">
        <is>
          <t>铝业</t>
        </is>
      </c>
      <c r="F598" t="inlineStr">
        <is>
          <t>匈牙利 1211 布达佩斯 切佩尔区，恩托德街 2-12 号</t>
        </is>
      </c>
      <c r="G598" s="2" t="str">
        <f>=HYPERLINK("https://www.femalk.hu/hu/rolunk/bemutatkozas", "https://www.femalk.hu/hu/rolunk/bemutatkozas")</f>
        <v>https://www.femalk.hu/hu/rolunk/bemutatkozas</v>
      </c>
      <c r="H598" t="inlineStr">
        <is>
          <t>专业从事有色金属铸造与铝制零部件制造，聚焦铝合金精密铸件研发与量产，产品应用于汽车、机电、工程机械等领域，以规模化生产与技术创新，成为匈牙利铝铸造零部件标杆企业。</t>
        </is>
      </c>
      <c r="I598"/>
      <c r="J598"/>
      <c r="K598"/>
      <c r="L598" s="2" t="str">
        <f>=HYPERLINK("mailto:femalk@femalk.hu", "femalk@femalk.hu")</f>
        <v>femalk@femalk.hu</v>
      </c>
      <c r="M598" t="inlineStr">
        <is>
          <t>(36-1) 815-0900</t>
        </is>
      </c>
      <c r="N598" s="3">
        <v>46090</v>
      </c>
      <c r="O598" t="inlineStr">
        <is>
          <t>已联系未回复</t>
        </is>
      </c>
      <c r="P598"/>
      <c r="Q598" t="inlineStr">
        <is>
          <t>上海铝业协会-德国奥地利匈牙利</t>
        </is>
      </c>
      <c r="R598"/>
      <c r="S598"/>
      <c r="T598"/>
    </row>
    <row r="599" ht="25.5" customHeight="1">
      <c r="A599" t="inlineStr">
        <is>
          <t>布达佩斯工商会/Budapest Chamber of Commerce and Industry, BCCI</t>
        </is>
      </c>
      <c r="B599" t="inlineStr">
        <is>
          <t>匈牙利</t>
        </is>
      </c>
      <c r="C599" t="inlineStr">
        <is>
          <t>布达佩斯</t>
        </is>
      </c>
      <c r="D599" t="inlineStr">
        <is>
          <t>商协会</t>
        </is>
      </c>
      <c r="E599" t="inlineStr">
        <is>
          <t>铝业</t>
        </is>
      </c>
      <c r="F599" t="inlineStr">
        <is>
          <t>匈牙利 1016 布达佩斯，克里斯蒂娜大道 99 号</t>
        </is>
      </c>
      <c r="G599" s="2" t="str">
        <f>=HYPERLINK("https://bkik.hu/", "https://bkik.hu/")</f>
        <v>https://bkik.hu/</v>
      </c>
      <c r="H599" t="inlineStr">
        <is>
          <t>匈牙利首都核心工商服务机构，覆盖布达佩斯全域铝加工、金属制造企业，提供行业对接、政策咨询、国际认证与商贸撮合服务，助力本地铝企拓展国内外市场、提升行业竞争力。</t>
        </is>
      </c>
      <c r="I599" t="inlineStr">
        <is>
          <t>Mr. Péter Babák</t>
        </is>
      </c>
      <c r="J599" t="inlineStr">
        <is>
          <t>国际关系办公室经理</t>
        </is>
      </c>
      <c r="K599"/>
      <c r="L599" s="2" t="str">
        <f>=HYPERLINK("mailto:babak.peter@bkik.hu", "babak.peter@bkik.hu")</f>
        <v>babak.peter@bkik.hu</v>
      </c>
      <c r="M599" t="inlineStr">
        <is>
          <t>+36 (1) 488 2000</t>
        </is>
      </c>
      <c r="N599" s="3">
        <v>46090</v>
      </c>
      <c r="O599" t="inlineStr">
        <is>
          <t>已联系未回复</t>
        </is>
      </c>
      <c r="P599"/>
      <c r="Q599" t="inlineStr">
        <is>
          <t>上海铝业协会-德国奥地利匈牙利</t>
        </is>
      </c>
      <c r="R599"/>
      <c r="S599"/>
      <c r="T599"/>
    </row>
    <row r="600" ht="25.5" customHeight="1">
      <c r="A600" t="inlineStr">
        <is>
          <t>马特劳金属有限公司/MÁTRAMETÁL Ltd.</t>
        </is>
      </c>
      <c r="B600" t="inlineStr">
        <is>
          <t>匈牙利</t>
        </is>
      </c>
      <c r="C600" t="inlineStr">
        <is>
          <t>希罗克</t>
        </is>
      </c>
      <c r="D600" t="inlineStr">
        <is>
          <t>企业</t>
        </is>
      </c>
      <c r="E600" t="inlineStr">
        <is>
          <t>铝业</t>
        </is>
      </c>
      <c r="F600" t="inlineStr">
        <is>
          <t>匈牙利 3332 希罗克，邮政信箱 10 号（1002/7）</t>
        </is>
      </c>
      <c r="G600" s="2" t="str">
        <f>=HYPERLINK("https://www.matrametal.hu/en/", "https://www.matrametal.hu/en/")</f>
        <v>https://www.matrametal.hu/en/</v>
      </c>
      <c r="H600" t="inlineStr">
        <is>
          <t>专注有色金属加工与铝合金制品生产，主营铝型材、铝结构件定制加工，服务建筑、工业装备领域，以本地化快速响应与可靠品质，成为匈牙利北部地区重要的铝加工配套企业。</t>
        </is>
      </c>
      <c r="I600" t="inlineStr">
        <is>
          <t>+36 (1) 488 2000</t>
        </is>
      </c>
      <c r="J600" t="inlineStr">
        <is>
          <t>商业及客户服务总监</t>
        </is>
      </c>
      <c r="K600"/>
      <c r="L600" s="2" t="str">
        <f>=HYPERLINK("mailto:katalin.horvath@matrametal.hu", "katalin.horvath@matrametal.hu")</f>
        <v>katalin.horvath@matrametal.hu</v>
      </c>
      <c r="M600" t="inlineStr">
        <is>
          <t>+3636 361 377</t>
        </is>
      </c>
      <c r="N600" s="3">
        <v>46090</v>
      </c>
      <c r="O600" t="inlineStr">
        <is>
          <t>已联系未回复</t>
        </is>
      </c>
      <c r="P600"/>
      <c r="Q600" t="inlineStr">
        <is>
          <t>上海铝业协会-德国奥地利匈牙利</t>
        </is>
      </c>
      <c r="R600"/>
      <c r="S600"/>
      <c r="T600"/>
    </row>
    <row r="601" ht="25.5" customHeight="1">
      <c r="A601" t="inlineStr">
        <is>
          <t>内马克杰尔铝合金铸造有限公司/NEMAK Győr Alumíniumöntöde Ltd</t>
        </is>
      </c>
      <c r="B601" t="inlineStr">
        <is>
          <t>匈牙利</t>
        </is>
      </c>
      <c r="C601" t="inlineStr">
        <is>
          <t>杰尔</t>
        </is>
      </c>
      <c r="D601" t="inlineStr">
        <is>
          <t>企业</t>
        </is>
      </c>
      <c r="E601" t="inlineStr">
        <is>
          <t>铝业</t>
        </is>
      </c>
      <c r="F601" t="inlineStr">
        <is>
          <t>匈牙利 9027 杰尔，工业园区，尼尔法巷 1 号</t>
        </is>
      </c>
      <c r="G601" s="2" t="str">
        <f>=HYPERLINK("https://www.nemak.com/hu/plants/europe-asia/hungary/", "https://www.nemak.com/hu/plants/europe-asia/hungary/")</f>
        <v>https://www.nemak.com/hu/plants/europe-asia/hungary/</v>
      </c>
      <c r="H601" t="inlineStr">
        <is>
          <t>全球汽车铝铸件巨头 Nemak 旗下匈牙利核心工厂，专注铝合金缸盖、发动机缸体及底盘部件生产，采用全球统一压铸与机加工标准，为雷诺、奥迪、宝马等车企供应高端铝制动力总成部件。</t>
        </is>
      </c>
      <c r="I601"/>
      <c r="J601"/>
      <c r="K601"/>
      <c r="L601" s="2" t="str">
        <f>=HYPERLINK("mailto:gyorgy.fegyverneki@nemak.com", "gyorgy.fegyverneki@nemak.com")</f>
        <v>gyorgy.fegyverneki@nemak.com</v>
      </c>
      <c r="M601" t="inlineStr">
        <is>
          <t>(36-96) 520-100; 520-111</t>
        </is>
      </c>
      <c r="N601" s="3">
        <v>46090</v>
      </c>
      <c r="O601" t="inlineStr">
        <is>
          <t>已联系未回复</t>
        </is>
      </c>
      <c r="P601"/>
      <c r="Q601" t="inlineStr">
        <is>
          <t>上海铝业协会-德国奥地利匈牙利</t>
        </is>
      </c>
      <c r="R601"/>
      <c r="S601"/>
      <c r="T601"/>
    </row>
    <row r="602" ht="25.5" customHeight="1">
      <c r="A602" t="inlineStr">
        <is>
          <t>波费姆合伙企业/PO-FÉM Bt.</t>
        </is>
      </c>
      <c r="B602" t="inlineStr">
        <is>
          <t>匈牙利</t>
        </is>
      </c>
      <c r="C602" t="inlineStr">
        <is>
          <t>布达佩斯</t>
        </is>
      </c>
      <c r="D602" t="inlineStr">
        <is>
          <t>企业</t>
        </is>
      </c>
      <c r="E602" t="inlineStr">
        <is>
          <t>铝业</t>
        </is>
      </c>
      <c r="F602" t="inlineStr">
        <is>
          <t>布达佩斯 1201 号，瓦戈希德街 55 号</t>
        </is>
      </c>
      <c r="G602" s="2" t="str">
        <f>=HYPERLINK("https://www.pofem.hu/", "https://www.pofem.hu/")</f>
        <v>https://www.pofem.hu/</v>
      </c>
      <c r="H602" t="inlineStr">
        <is>
          <t>中小型金属加工与铝制品配套企业，专注铝合金小件压铸、精密机加工与表面处理，为汽车、电子行业提供小批量定制铝部件，以灵活高效服务填补区域铝加工细分市场需求。</t>
        </is>
      </c>
      <c r="I602"/>
      <c r="J602"/>
      <c r="K602"/>
      <c r="L602" s="2" t="str">
        <f>=HYPERLINK("mailto:pofem@pofem.hu", "pofem@pofem.hu")</f>
        <v>pofem@pofem.hu</v>
      </c>
      <c r="M602" t="inlineStr">
        <is>
          <t>+36 1 287 2161</t>
        </is>
      </c>
      <c r="N602" s="3">
        <v>46090</v>
      </c>
      <c r="O602" t="inlineStr">
        <is>
          <t>已联系未回复</t>
        </is>
      </c>
      <c r="P602"/>
      <c r="Q602" t="inlineStr">
        <is>
          <t>上海铝业协会-德国奥地利匈牙利</t>
        </is>
      </c>
      <c r="R602"/>
      <c r="S602"/>
      <c r="T602"/>
    </row>
    <row r="603" ht="25.5" customHeight="1">
      <c r="A603" t="inlineStr">
        <is>
          <t>奎利福姆股份公司/QUALIFORM Plc.</t>
        </is>
      </c>
      <c r="B603" t="inlineStr">
        <is>
          <t>匈牙利</t>
        </is>
      </c>
      <c r="C603" t="inlineStr">
        <is>
          <t>奥普奇</t>
        </is>
      </c>
      <c r="D603" t="inlineStr">
        <is>
          <t>企业</t>
        </is>
      </c>
      <c r="E603" t="inlineStr">
        <is>
          <t>铝业</t>
        </is>
      </c>
      <c r="F603" t="inlineStr">
        <is>
          <t>匈牙利 3032 奥普奇，铁路路 1 号</t>
        </is>
      </c>
      <c r="G603" s="2" t="str">
        <f>=HYPERLINK("http://www.qualiform.hu/index.php/hu/", "http://www.qualiform.hu/index.php/hu/")</f>
        <v>http://www.qualiform.hu/index.php/hu/</v>
      </c>
      <c r="H603" t="inlineStr">
        <is>
          <t>专业金属成型与铝压铸企业，聚焦轻量化铝合金结构件研发生产，产品覆盖汽车、工业设备领域，以高精度成型工艺与稳定交付能力，服务欧洲高端装备制造客户。</t>
        </is>
      </c>
      <c r="I603"/>
      <c r="J603"/>
      <c r="K603"/>
      <c r="L603" s="2" t="str">
        <f>=HYPERLINK("mailto:info@qualiform.hu", "info@qualiform.hu")</f>
        <v>info@qualiform.hu</v>
      </c>
      <c r="M603" t="inlineStr">
        <is>
          <t>+36 37 385-466</t>
        </is>
      </c>
      <c r="N603" s="3">
        <v>46090</v>
      </c>
      <c r="O603" t="inlineStr">
        <is>
          <t>已联系未回复</t>
        </is>
      </c>
      <c r="P603"/>
      <c r="Q603" t="inlineStr">
        <is>
          <t>上海铝业协会-德国奥地利匈牙利</t>
        </is>
      </c>
      <c r="R603"/>
      <c r="S603"/>
      <c r="T603"/>
    </row>
    <row r="604" ht="25.5" customHeight="1">
      <c r="A604" t="inlineStr">
        <is>
          <t>绍尔戈金属加工厂合金厂/Salgo Metal-Works PLC. Fémötvözetgyár</t>
        </is>
      </c>
      <c r="B604" t="inlineStr">
        <is>
          <t>匈牙利</t>
        </is>
      </c>
      <c r="C604" t="inlineStr">
        <is>
          <t>绍尔戈陶尔扬</t>
        </is>
      </c>
      <c r="D604" t="inlineStr">
        <is>
          <t>企业</t>
        </is>
      </c>
      <c r="E604" t="inlineStr">
        <is>
          <t>铝业</t>
        </is>
      </c>
      <c r="F604" t="inlineStr">
        <is>
          <t>匈牙利 3100 绍尔戈陶尔扬，塞莱伊街 11-13 号</t>
        </is>
      </c>
      <c r="G604" s="2" t="str">
        <f>=HYPERLINK("https://smw.hu/", "https://smw.hu/")</f>
        <v>https://smw.hu/</v>
      </c>
      <c r="H604" t="inlineStr">
        <is>
          <t>匈牙利老牌合金与金属加工企业，主营铝合金熔炼、合金配方研发与铸件生产，具备从铝原料到成品部件的全链条加工能力，为机械、汽车行业提供高品质铝合金材料与制品。</t>
        </is>
      </c>
      <c r="I604"/>
      <c r="J604"/>
      <c r="K604"/>
      <c r="L604" s="2" t="str">
        <f>=HYPERLINK("mailto:info@salgometal-works.hu", "info@salgometal-works.hu")</f>
        <v>info@salgometal-works.hu</v>
      </c>
      <c r="M604" t="inlineStr">
        <is>
          <t>+36 32/438-307</t>
        </is>
      </c>
      <c r="N604" s="3">
        <v>46090</v>
      </c>
      <c r="O604" t="inlineStr">
        <is>
          <t>已联系未回复</t>
        </is>
      </c>
      <c r="P604"/>
      <c r="Q604" t="inlineStr">
        <is>
          <t>上海铝业协会-德国奥地利匈牙利</t>
        </is>
      </c>
      <c r="R604"/>
      <c r="S604"/>
      <c r="T604"/>
    </row>
    <row r="605" ht="25.5" customHeight="1">
      <c r="A605" t="inlineStr">
        <is>
          <t>索罗有限公司/SZÓRÓ Ltd</t>
        </is>
      </c>
      <c r="B605" t="inlineStr">
        <is>
          <t>匈牙利</t>
        </is>
      </c>
      <c r="C605" t="inlineStr">
        <is>
          <t>舒伊沙普</t>
        </is>
      </c>
      <c r="D605" t="inlineStr">
        <is>
          <t>企业</t>
        </is>
      </c>
      <c r="E605" t="inlineStr">
        <is>
          <t>铝业</t>
        </is>
      </c>
      <c r="F605" t="inlineStr">
        <is>
          <t>匈牙利 2241 舒伊沙普，铁路街 15 号</t>
        </is>
      </c>
      <c r="G605" s="2" t="str">
        <f>=HYPERLINK("https://szorokft.hu/", "https://szorokft.hu/")</f>
        <v>https://szorokft.hu/</v>
      </c>
      <c r="H605" t="inlineStr">
        <is>
          <t>专注金属表面处理与铝制品精加工，提供铝合金阳极氧化、喷涂、精密打磨等增值服务，提升铝部件耐蚀性与外观品质，是匈牙利铝加工产业链中关键的表面处理配套企业。</t>
        </is>
      </c>
      <c r="I605"/>
      <c r="J605"/>
      <c r="K605"/>
      <c r="L605" s="2" t="str">
        <f>=HYPERLINK("mailto:szoro@szorokft.hu", "szoro@szorokft.hu")</f>
        <v>szoro@szorokft.hu</v>
      </c>
      <c r="M605" t="inlineStr">
        <is>
          <t>+36 29 635 300</t>
        </is>
      </c>
      <c r="N605" s="3">
        <v>46090</v>
      </c>
      <c r="O605" t="inlineStr">
        <is>
          <t>已联系未回复</t>
        </is>
      </c>
      <c r="P605"/>
      <c r="Q605" t="inlineStr">
        <is>
          <t>上海铝业协会-德国奥地利匈牙利</t>
        </is>
      </c>
      <c r="R605"/>
      <c r="S605"/>
      <c r="T605"/>
    </row>
    <row r="606" ht="25.5" customHeight="1">
      <c r="A606" t="inlineStr">
        <is>
          <t>威铸造有限公司/V-CASTING Ltd</t>
        </is>
      </c>
      <c r="B606" t="inlineStr">
        <is>
          <t>匈牙利</t>
        </is>
      </c>
      <c r="C606" t="inlineStr">
        <is>
          <t>埃切尔</t>
        </is>
      </c>
      <c r="D606" t="inlineStr">
        <is>
          <t>企业</t>
        </is>
      </c>
      <c r="E606" t="inlineStr">
        <is>
          <t>铝业</t>
        </is>
      </c>
      <c r="F606" t="inlineStr">
        <is>
          <t>匈牙利 2233 埃切尔，恩托德街</t>
        </is>
      </c>
      <c r="G606" s="2" t="str">
        <f>=HYPERLINK("https://vcasting.hu/en/", "https://vcasting.hu/en/")</f>
        <v>https://vcasting.hu/en/</v>
      </c>
      <c r="H606" t="inlineStr">
        <is>
          <t>专注精密铸造与铝合金部件生产，采用先进铸造工艺制造高要求铝制零件，服务汽车、液压、机械制造领域，以高精度与高可靠性产品，成为匈牙利精密铝铸件优质供应商。</t>
        </is>
      </c>
      <c r="I606"/>
      <c r="J606"/>
      <c r="K606"/>
      <c r="L606" s="2" t="str">
        <f>=HYPERLINK("mailto:info@vcasting.hu", "info@vcasting.hu")</f>
        <v>info@vcasting.hu</v>
      </c>
      <c r="M606" t="inlineStr">
        <is>
          <t>+36 29 746 552</t>
        </is>
      </c>
      <c r="N606" s="3">
        <v>46090</v>
      </c>
      <c r="O606" t="inlineStr">
        <is>
          <t>已联系未回复</t>
        </is>
      </c>
      <c r="P606"/>
      <c r="Q606" t="inlineStr">
        <is>
          <t>上海铝业协会-德国奥地利匈牙利</t>
        </is>
      </c>
      <c r="R606"/>
      <c r="S606"/>
      <c r="T606"/>
    </row>
    <row r="607" ht="25.5" customHeight="1">
      <c r="A607" t="inlineStr">
        <is>
          <t>新加坡中华总商会/Singapore Chinese Chamber of Commerce &amp; Industry (SCCCI)</t>
        </is>
      </c>
      <c r="B607" t="inlineStr">
        <is>
          <t>新加坡</t>
        </is>
      </c>
      <c r="C607" t="inlineStr">
        <is>
          <t>新加坡市中心</t>
        </is>
      </c>
      <c r="D607" t="inlineStr">
        <is>
          <t>商协会</t>
        </is>
      </c>
      <c r="E607" t="inlineStr">
        <is>
          <t>出海通识知识课程培训</t>
        </is>
      </c>
      <c r="F607" t="inlineStr">
        <is>
          <t>新加坡希尔街47号，05-01/02室，邮编179365</t>
        </is>
      </c>
      <c r="G607" s="2" t="str">
        <f>=HYPERLINK("https://www.sccci.org.sg/", "https://www.sccci.org.sg/")</f>
        <v>https://www.sccci.org.sg/</v>
      </c>
      <c r="H607" t="inlineStr">
        <is>
          <t>新加坡中华总商会成立于 1906 年，是新加坡历史最悠久、最具影响力的华商顶尖商会，也是世界华商大会创始机构。商会拥有数千家企业会员与上百个商团会员，覆盖全行业企业，长期代表华商社群发声、推动经贸合作、促进中新及国际商业交流，是连接新加坡与全球华商网络的核心平台。</t>
        </is>
      </c>
      <c r="I607"/>
      <c r="J607"/>
      <c r="K607"/>
      <c r="L607" s="2" t="str">
        <f>=HYPERLINK("mailto:corporate@sccci.org.sg", "corporate@sccci.org.sg")</f>
        <v>corporate@sccci.org.sg</v>
      </c>
      <c r="M607" t="inlineStr">
        <is>
          <t>6337 8381</t>
        </is>
      </c>
      <c r="N607" s="3">
        <v>46080</v>
      </c>
      <c r="O607" t="inlineStr">
        <is>
          <t>已联系未回复</t>
        </is>
      </c>
      <c r="P607"/>
      <c r="Q607" t="inlineStr">
        <is>
          <t>上汽培训课程</t>
        </is>
      </c>
      <c r="R607"/>
      <c r="S607"/>
      <c r="T607"/>
    </row>
    <row r="608" ht="25.5" customHeight="1">
      <c r="A608" t="inlineStr">
        <is>
          <t>新加坡中华总商会管理学院/Singapore Chinese Chamber Institute of Business</t>
        </is>
      </c>
      <c r="B608" t="inlineStr">
        <is>
          <t>新加坡</t>
        </is>
      </c>
      <c r="C608" t="inlineStr">
        <is>
          <t>新加坡市中心</t>
        </is>
      </c>
      <c r="D608" t="inlineStr">
        <is>
          <t>高校</t>
        </is>
      </c>
      <c r="E608" t="inlineStr">
        <is>
          <t>出海通识知识课程培训</t>
        </is>
      </c>
      <c r="F608" t="inlineStr">
        <is>
          <t>新加坡希尔街47号，新加坡中华总商会大厦8楼02室</t>
        </is>
      </c>
      <c r="G608" s="2" t="str">
        <f>=HYPERLINK("https://www.scciob.edu.sg/", "https://www.scciob.edu.sg/")</f>
        <v>https://www.scciob.edu.sg/</v>
      </c>
      <c r="H608" t="inlineStr">
        <is>
          <t>新加坡中华总商会管理学院是新加坡中华总商会旗下非营利专业教育与培训机构，专注为企业管理者、职场人士提供商业管理、商务华语、专业技能等定制化课程与文凭项目，依托商会资源与行业实践，致力于提升人才竞争力、助力企业转型与国际化发展。</t>
        </is>
      </c>
      <c r="I608"/>
      <c r="J608"/>
      <c r="K608"/>
      <c r="L608" s="2" t="str">
        <f>=HYPERLINK("mailto:enquiry@scciob.edu.sg", "enquiry@scciob.edu.sg")</f>
        <v>enquiry@scciob.edu.sg</v>
      </c>
      <c r="M608" t="inlineStr">
        <is>
          <t>6334 1080</t>
        </is>
      </c>
      <c r="N608" s="3">
        <v>46080</v>
      </c>
      <c r="O608" t="inlineStr">
        <is>
          <t>已联系未回复</t>
        </is>
      </c>
      <c r="P608"/>
      <c r="Q608" t="inlineStr">
        <is>
          <t>上汽培训课程</t>
        </is>
      </c>
      <c r="R608"/>
      <c r="S608"/>
      <c r="T608"/>
    </row>
    <row r="609" ht="25.5" customHeight="1">
      <c r="A609" t="inlineStr">
        <is>
          <t>新加坡中资企业协会/Association of Chinese Enterprises in Singapore (ACES) / Chinese Enterprises Association of Singapore (CEAS)</t>
        </is>
      </c>
      <c r="B609" t="inlineStr">
        <is>
          <t>新加坡</t>
        </is>
      </c>
      <c r="C609" t="inlineStr">
        <is>
          <t>滨海湾</t>
        </is>
      </c>
      <c r="D609" t="inlineStr">
        <is>
          <t>协会</t>
        </is>
      </c>
      <c r="E609" t="inlineStr">
        <is>
          <t>出海通识知识课程培训</t>
        </is>
      </c>
      <c r="F609" t="inlineStr">
        <is>
          <t>新加坡 038988
新达城三座
43-03
淡马锡林荫道 8 号</t>
        </is>
      </c>
      <c r="G609" s="2" t="str">
        <f>=HYPERLINK("http://www.cea.org.sg/", "www.cea.org.sg")</f>
        <v>www.cea.org.sg</v>
      </c>
      <c r="H609" t="inlineStr">
        <is>
          <t>新加坡中资企业协会是在新加坡注册的非营利社团，服务于在新中资企业与机构，致力于维护会员合法权益、促进中新经贸投资合作、搭建中资企业与本地政府、商界的沟通桥梁，推动中资企业合规经营、融入本地市场并实现高质量发展。</t>
        </is>
      </c>
      <c r="I609"/>
      <c r="J609"/>
      <c r="K609"/>
      <c r="L609" s="2" t="str">
        <f>=HYPERLINK("mailto:service@cea.org.sg", "service@cea.org.sg")</f>
        <v>service@cea.org.sg</v>
      </c>
      <c r="M609" t="inlineStr">
        <is>
          <t>+65 6513 1763</t>
        </is>
      </c>
      <c r="N609" s="3">
        <v>46080</v>
      </c>
      <c r="O609" t="inlineStr">
        <is>
          <t>已联系未回复</t>
        </is>
      </c>
      <c r="P609"/>
      <c r="Q609" t="inlineStr">
        <is>
          <t>上汽培训课程</t>
        </is>
      </c>
      <c r="R609"/>
      <c r="S609"/>
      <c r="T609"/>
    </row>
    <row r="610" ht="25.5" customHeight="1">
      <c r="A610" t="inlineStr">
        <is>
          <t>密施康亚洲学院/Mishcon Academy Asia</t>
        </is>
      </c>
      <c r="B610" t="inlineStr">
        <is>
          <t>新加坡</t>
        </is>
      </c>
      <c r="C610" t="inlineStr">
        <is>
          <t>新加坡市中心</t>
        </is>
      </c>
      <c r="D610" t="inlineStr">
        <is>
          <t>高校</t>
        </is>
      </c>
      <c r="E610" t="inlineStr">
        <is>
          <t>出海通识知识课程培训</t>
        </is>
      </c>
      <c r="F610" t="inlineStr">
        <is>
          <t>新加坡莱佛士坊9号 共和广场 54-02/03室，邮编 048619</t>
        </is>
      </c>
      <c r="G610" s="2" t="str">
        <f>=HYPERLINK("http://www.mishcon.com/academy/asia", "www.mishcon.com/academy/asia")</f>
        <v>www.mishcon.com/academy/asia</v>
      </c>
      <c r="H610" t="inlineStr">
        <is>
          <t>密施康亚洲学院是英国知名律所密施康德雷亚在亚洲设立的专业交流与知识服务平台，聚焦法律、商业治理、跨境合规等领域，通过研讨、培训与智库活动，为区域企业与专业人士提供前沿行业洞察、实务能力提升与国际资源对接。</t>
        </is>
      </c>
      <c r="I610" t="inlineStr">
        <is>
          <t>Ms.Tahirah Ara</t>
        </is>
      </c>
      <c r="J610" t="inlineStr">
        <is>
          <t>新加坡管理合伙人兼亚洲区负责人</t>
        </is>
      </c>
      <c r="K610"/>
      <c r="L610" s="2" t="str">
        <f>=HYPERLINK("mailto:tahirah.ara@mishcon.com", "tahirah.ara@mishcon.com")</f>
        <v>tahirah.ara@mishcon.com</v>
      </c>
      <c r="M610" t="inlineStr">
        <is>
          <t>+44 20 3321 7000</t>
        </is>
      </c>
      <c r="N610" s="3">
        <v>46080</v>
      </c>
      <c r="O610" t="inlineStr">
        <is>
          <t>已联系未回复</t>
        </is>
      </c>
      <c r="P610"/>
      <c r="Q610" t="inlineStr">
        <is>
          <t>上汽培训课程</t>
        </is>
      </c>
      <c r="R610"/>
      <c r="S610"/>
      <c r="T610"/>
    </row>
    <row r="611" ht="25.5" customHeight="1">
      <c r="A611" t="inlineStr">
        <is>
          <t>新加坡中国经济文化发展中心/Singapore China Business and Culture Development Centre (SINBC)</t>
        </is>
      </c>
      <c r="B611" t="inlineStr">
        <is>
          <t>新加坡</t>
        </is>
      </c>
      <c r="C611" t="inlineStr">
        <is>
          <t>滨海湾</t>
        </is>
      </c>
      <c r="D611" t="inlineStr">
        <is>
          <t>文化中心</t>
        </is>
      </c>
      <c r="E611" t="inlineStr">
        <is>
          <t>出海通识知识课程培训</t>
        </is>
      </c>
      <c r="F611" t="inlineStr">
        <is>
          <t>新加坡莱佛士码头6号，14-02室，邮编：048580</t>
        </is>
      </c>
      <c r="G611" s="2" t="str">
        <f>=HYPERLINK("https://www.sinbc.org/en/", "https://www.sinbc.org/en/")</f>
        <v>https://www.sinbc.org/en/</v>
      </c>
      <c r="H611" t="inlineStr">
        <is>
          <t>新加坡中国经济文化发展中心是经新加坡政府批准成立的综合性服务机构，专注推动中新经贸、文化、人才与科技交流，提供高端培训、商务考察、项目对接与跨境合作支持，依托两地资源为政府、企业与机构提供一站式国际合作解决方案。</t>
        </is>
      </c>
      <c r="I611"/>
      <c r="J611"/>
      <c r="K611"/>
      <c r="L611" s="2" t="str">
        <f>=HYPERLINK("mailto:info@sinbc.org", "info@sinbc.org")</f>
        <v>info@sinbc.org</v>
      </c>
      <c r="M611" t="inlineStr">
        <is>
          <t>+65 6652 5506</t>
        </is>
      </c>
      <c r="N611" s="3">
        <v>46080</v>
      </c>
      <c r="O611" t="inlineStr">
        <is>
          <t>已联系未回复</t>
        </is>
      </c>
      <c r="P611"/>
      <c r="Q611" t="inlineStr">
        <is>
          <t>上汽培训课程</t>
        </is>
      </c>
      <c r="R611"/>
      <c r="S611"/>
      <c r="T611"/>
    </row>
    <row r="612" ht="25.5" customHeight="1">
      <c r="A612" t="inlineStr">
        <is>
          <t>新加坡工商联合总会 / Singapore Business Federation (SBF)</t>
        </is>
      </c>
      <c r="B612" t="inlineStr">
        <is>
          <t>新加坡</t>
        </is>
      </c>
      <c r="C612" t="inlineStr">
        <is>
          <t>新加坡市中心</t>
        </is>
      </c>
      <c r="D612" t="inlineStr">
        <is>
          <t>商协会</t>
        </is>
      </c>
      <c r="E612" t="inlineStr">
        <is>
          <t>出海通识知识课程培训</t>
        </is>
      </c>
      <c r="F612" t="inlineStr">
        <is>
          <t>罗宾逊路160号6楼01室
新加坡SBF中心，邮编068914</t>
        </is>
      </c>
      <c r="G612" s="2" t="str">
        <f>=HYPERLINK("https://www.sbf.org.sg/", "https://www.sbf.org.sg/")</f>
        <v>https://www.sbf.org.sg/</v>
      </c>
      <c r="H612" t="inlineStr">
        <is>
          <t>新加坡工商联合总会是新加坡法定国家级顶尖商会，代表全国各行业企业利益，连接政府与商界，推动贸易投资、政策倡导、企业能力建设与国际化拓展，会员覆盖数万家中外企业，是新加坡商界最具权威性的统一代表平台。</t>
        </is>
      </c>
      <c r="I612"/>
      <c r="J612"/>
      <c r="K612"/>
      <c r="L612" s="2" t="str">
        <f>=HYPERLINK("mailto:corpcomm@sbf.org.sg", "corpcomm@sbf.org.sg")</f>
        <v>corpcomm@sbf.org.sg</v>
      </c>
      <c r="M612" t="inlineStr">
        <is>
          <t>+65 6827 6828</t>
        </is>
      </c>
      <c r="N612" s="3">
        <v>46080</v>
      </c>
      <c r="O612" t="inlineStr">
        <is>
          <t>已联系未回复</t>
        </is>
      </c>
      <c r="P612"/>
      <c r="Q612" t="inlineStr">
        <is>
          <t>上汽培训课程</t>
        </is>
      </c>
      <c r="R612"/>
      <c r="S612"/>
      <c r="T612"/>
    </row>
    <row r="613" ht="25.5" customHeight="1">
      <c r="A613" t="inlineStr">
        <is>
          <t>新加坡企发局 / Enterprise Singapore (formerly IE Singapore)</t>
        </is>
      </c>
      <c r="B613" t="inlineStr">
        <is>
          <t>新加坡</t>
        </is>
      </c>
      <c r="C613" t="inlineStr">
        <is>
          <t>武吉士</t>
        </is>
      </c>
      <c r="D613" t="inlineStr">
        <is>
          <t>企发局</t>
        </is>
      </c>
      <c r="E613" t="inlineStr">
        <is>
          <t>出海通识知识课程培训</t>
        </is>
      </c>
      <c r="F613" t="inlineStr">
        <is>
          <t>维多利亚街230
号，武吉士枢纽办公大楼9楼</t>
        </is>
      </c>
      <c r="G613" s="2" t="str">
        <f>=HYPERLINK("https://www.enterprisesg.gov.sg/", "https://www.enterprisesg.gov.sg/")</f>
        <v>https://www.enterprisesg.gov.sg/</v>
      </c>
      <c r="H613" t="inlineStr">
        <is>
          <t>新加坡企业发展局是新加坡贸工部下属法定机构，由原国际企业发展局与标准、生产力与创新局合并而成，负责支持本地企业创新、转型与出海，推动新加坡成为全球贸易与创业枢纽，同时制定国家标准与认证体系，提升企业国际竞争力。</t>
        </is>
      </c>
      <c r="I613" t="inlineStr">
        <is>
          <t>Josefine SEE THO</t>
        </is>
      </c>
      <c r="J613" t="inlineStr">
        <is>
          <t>高级开发合作伙伴</t>
        </is>
      </c>
      <c r="K613"/>
      <c r="L613" s="2" t="str">
        <f>=HYPERLINK("mailto:enquiries-reply@enterprisesg.gov.sg", "enquiries-reply@enterprisesg.gov.sg")</f>
        <v>enquiries-reply@enterprisesg.gov.sg</v>
      </c>
      <c r="M613" t="inlineStr">
        <is>
          <t>+65 6433 4483</t>
        </is>
      </c>
      <c r="N613" s="3">
        <v>46080</v>
      </c>
      <c r="O613" t="inlineStr">
        <is>
          <t>已联系已回复</t>
        </is>
      </c>
      <c r="P613" t="inlineStr">
        <is>
          <t>表示可协助帮忙联系当地相关的单位</t>
        </is>
      </c>
      <c r="Q613" t="inlineStr">
        <is>
          <t>上汽培训课程</t>
        </is>
      </c>
      <c r="R613"/>
      <c r="S613"/>
      <c r="T613"/>
    </row>
    <row r="614" ht="25.5" customHeight="1">
      <c r="A614" t="inlineStr">
        <is>
          <t>立杰律师事务所 / Rajah &amp; Tann Singapore LLP</t>
        </is>
      </c>
      <c r="B614" t="inlineStr">
        <is>
          <t>新加坡</t>
        </is>
      </c>
      <c r="C614" t="inlineStr">
        <is>
          <t>滨海湾</t>
        </is>
      </c>
      <c r="D614" t="inlineStr">
        <is>
          <t>律所</t>
        </is>
      </c>
      <c r="E614" t="inlineStr">
        <is>
          <t>出海通识知识课程培训</t>
        </is>
      </c>
      <c r="F614" t="inlineStr">
        <is>
          <t>海峡景9号
滨海盛景西塔6楼07室 邮编：
018937
新加坡共和国</t>
        </is>
      </c>
      <c r="G614" s="2" t="str">
        <f>=HYPERLINK("https://www.rajahtannasia.com/", "https://www.rajahtannasia.com/,https://sg.rajahtannasia.com/")</f>
        <v>https://www.rajahtannasia.com/,https://sg.rajahtannasia.com/</v>
      </c>
      <c r="H614" t="inlineStr">
        <is>
          <t>立杰律师事务所是新加坡及东南亚规模领先的综合性律师事务所，拥有覆盖东盟多国的法律服务网络，擅长跨境争议解决、公司并购、金融、海事、合规等业务，以深厚本地经验与国际视野为跨国企业、金融机构与政府机构提供全方位法律解决方案。</t>
        </is>
      </c>
      <c r="I614"/>
      <c r="J614"/>
      <c r="K614"/>
      <c r="L614" s="2" t="str">
        <f>=HYPERLINK("mailto:info@rajahtannasia.com", "info@rajahtannasia.com")</f>
        <v>info@rajahtannasia.com</v>
      </c>
      <c r="M614" t="inlineStr">
        <is>
          <t>+65 6535 3600</t>
        </is>
      </c>
      <c r="N614" s="3">
        <v>46080</v>
      </c>
      <c r="O614" t="inlineStr">
        <is>
          <t>已联系未回复</t>
        </is>
      </c>
      <c r="P614"/>
      <c r="Q614" t="inlineStr">
        <is>
          <t>上汽培训课程</t>
        </is>
      </c>
      <c r="R614"/>
      <c r="S614"/>
      <c r="T614"/>
    </row>
    <row r="615" ht="25.5" customHeight="1">
      <c r="A615" t="inlineStr">
        <is>
          <t>普华永道新加坡 / PwC Singapore</t>
        </is>
      </c>
      <c r="B615" t="inlineStr">
        <is>
          <t>新加坡</t>
        </is>
      </c>
      <c r="C615" t="inlineStr">
        <is>
          <t>滨海湾</t>
        </is>
      </c>
      <c r="D615" t="inlineStr">
        <is>
          <t>律所</t>
        </is>
      </c>
      <c r="E615" t="inlineStr">
        <is>
          <t>出海通识知识课程培训</t>
        </is>
      </c>
      <c r="F615" t="inlineStr">
        <is>
          <t>新加坡滨海盛景东塔7号，邮编：018936</t>
        </is>
      </c>
      <c r="G615" s="2" t="str">
        <f>=HYPERLINK("https://www.pwc.com/sg/en/", "https://www.pwc.com/sg/en/")</f>
        <v>https://www.pwc.com/sg/en/</v>
      </c>
      <c r="H615" t="inlineStr">
        <is>
          <t>普华永道新加坡是全球四大专业服务机构普华永道在新加坡的成员机构，提供审计鉴证、税务、咨询、风险管理、ESG 与交易服务等一站式解决方案，服务跨国企业、本地龙头与成长型企业，助力客户提升信任、应对挑战、创造长期价值。</t>
        </is>
      </c>
      <c r="I615"/>
      <c r="J615"/>
      <c r="K615"/>
      <c r="L615" s="2" t="str">
        <f>=HYPERLINK("http://在线联系表格：https://www.pwc.com/sg/en/contacts.html", "在线联系表格：https://www.pwc.com/sg/en/contacts.html")</f>
        <v>在线联系表格：https://www.pwc.com/sg/en/contacts.html</v>
      </c>
      <c r="M615"/>
      <c r="N615" s="3">
        <v>46080</v>
      </c>
      <c r="O615" t="inlineStr">
        <is>
          <t>已联系未回复</t>
        </is>
      </c>
      <c r="P615"/>
      <c r="Q615" t="inlineStr">
        <is>
          <t>上汽培训课程</t>
        </is>
      </c>
      <c r="R615"/>
      <c r="S615"/>
      <c r="T615"/>
    </row>
    <row r="616" ht="25.5" customHeight="1">
      <c r="A616" t="inlineStr">
        <is>
          <t>德勤（新加坡）/Deloitte Singapore</t>
        </is>
      </c>
      <c r="B616" t="inlineStr">
        <is>
          <t>新加坡</t>
        </is>
      </c>
      <c r="C616" t="inlineStr">
        <is>
          <t>总部在香港，分部在新加坡</t>
        </is>
      </c>
      <c r="D616" t="inlineStr">
        <is>
          <t>律所</t>
        </is>
      </c>
      <c r="E616" t="inlineStr">
        <is>
          <t>出海通识知识课程培训</t>
        </is>
      </c>
      <c r="F616" t="inlineStr">
        <is>
          <t>35/F One Pacific Place, 88 Queensway , Hong Kong, Hong Kong</t>
        </is>
      </c>
      <c r="G616" s="2" t="str">
        <f>=HYPERLINK("https://www.deloitte.com/southeast-asia/en.html", "https://www.deloitte.com/southeast-asia/en.html")</f>
        <v>https://www.deloitte.com/southeast-asia/en.html</v>
      </c>
      <c r="H616" t="inlineStr">
        <is>
          <t>德勤新加坡是德勤全球网络重要成员，提供审计、税务、管理咨询、财务咨询、风险咨询等全链条专业服务，依托全球资源与本地深耕，为金融、科技、制造、零售等行业客户提供战略支持与实务解决方案，支持企业可持续增长与国际化运营。</t>
        </is>
      </c>
      <c r="I616" t="inlineStr">
        <is>
          <t>Fangping CAO</t>
        </is>
      </c>
      <c r="J616" t="inlineStr">
        <is>
          <t>高级经理</t>
        </is>
      </c>
      <c r="K616"/>
      <c r="L616" s="2" t="str">
        <f>=HYPERLINK("mailto:fancao@deloitte.com", "fancao@deloitte.com")</f>
        <v>fancao@deloitte.com</v>
      </c>
      <c r="M616" t="inlineStr">
        <is>
          <t>Tel:+65 92462013
Wechat:fangping2601</t>
        </is>
      </c>
      <c r="N616" s="3">
        <v>46080</v>
      </c>
      <c r="O616" t="inlineStr">
        <is>
          <t>已联系已回复</t>
        </is>
      </c>
      <c r="P616" t="inlineStr">
        <is>
          <t>表示上汽已经是他们的客户，不能够在此基础上再服务了，后期可以再合作其他的</t>
        </is>
      </c>
      <c r="Q616" t="inlineStr">
        <is>
          <t>上汽培训课程</t>
        </is>
      </c>
      <c r="R616"/>
      <c r="S616"/>
      <c r="T616"/>
    </row>
    <row r="617" ht="25.5" customHeight="1">
      <c r="A617" t="inlineStr">
        <is>
          <t>罗申美国际（新加坡）/RSM International Singapore</t>
        </is>
      </c>
      <c r="B617" t="inlineStr">
        <is>
          <t>新加坡</t>
        </is>
      </c>
      <c r="C617" t="inlineStr">
        <is>
          <t>荷兰村</t>
        </is>
      </c>
      <c r="D617" t="inlineStr">
        <is>
          <t>律所</t>
        </is>
      </c>
      <c r="E617" t="inlineStr">
        <is>
          <t>出海通识知识课程培训</t>
        </is>
      </c>
      <c r="F617" t="inlineStr">
        <is>
          <t>新加坡威尔基路8号，威尔基边缘大厦3楼08室，邮编228095 （从1号电梯大堂进入）</t>
        </is>
      </c>
      <c r="G617" s="2" t="str">
        <f>=HYPERLINK("https://www.rsm.global/singapore", "https://www.rsm.global/singapore")</f>
        <v>https://www.rsm.global/singapore</v>
      </c>
      <c r="H617" t="inlineStr">
        <is>
          <t>罗申美国际新加坡是全球第六大专业服务网络 RSM 在新加坡的成员所，也是新加坡四大之外领先的审计、税务与咨询机构，专注服务成长型企业、中小企业与跨境投资者，提供灵活务实的合规、财税与商业支持，助力企业稳健发展与海外布局。</t>
        </is>
      </c>
      <c r="I617" t="inlineStr">
        <is>
          <t>Irene Yap BL</t>
        </is>
      </c>
      <c r="J617" t="inlineStr">
        <is>
          <t>市场运营总监</t>
        </is>
      </c>
      <c r="K617"/>
      <c r="L617" s="2" t="str">
        <f>=HYPERLINK("mailto:IreneYapBL@rsmsingapore.sg", "IreneYapBL@rsmsingapore.sg")</f>
        <v>IreneYapBL@rsmsingapore.sg</v>
      </c>
      <c r="M617" t="inlineStr">
        <is>
          <t xml:space="preserve"> +65 6594 7813</t>
        </is>
      </c>
      <c r="N617" s="3">
        <v>46080</v>
      </c>
      <c r="O617" t="inlineStr">
        <is>
          <t>已联系已回复</t>
        </is>
      </c>
      <c r="P617" t="inlineStr">
        <is>
          <t>表示有合适的课程，现阶段在同步问对方是否有符合要求的讲师，等待回复ing</t>
        </is>
      </c>
      <c r="Q617" t="inlineStr">
        <is>
          <t>上汽培训课程</t>
        </is>
      </c>
      <c r="R617"/>
      <c r="S617"/>
      <c r="T617"/>
    </row>
    <row r="618" ht="25.5" customHeight="1">
      <c r="A618" t="inlineStr">
        <is>
          <t>Ahlawat &amp; Associates/阿哈拉瓦特律师事务所</t>
        </is>
      </c>
      <c r="B618" t="inlineStr">
        <is>
          <t>印度</t>
        </is>
      </c>
      <c r="C618" t="inlineStr">
        <is>
          <t>新德里</t>
        </is>
      </c>
      <c r="D618" t="inlineStr">
        <is>
          <t>律所</t>
        </is>
      </c>
      <c r="E618" t="inlineStr">
        <is>
          <t>出海通识知识课程培训</t>
        </is>
      </c>
      <c r="F618" t="inlineStr">
        <is>
          <t>印度新德里 110020，奥克拉工业区奥克拉第三期 #TheHub，LGF 66 号地块。</t>
        </is>
      </c>
      <c r="G618" s="2" t="str">
        <f>=HYPERLINK("https://www.ahlawatassociates.com/", "https://www.ahlawatassociates.com/")</f>
        <v>https://www.ahlawatassociates.com/</v>
      </c>
      <c r="H618" t="inlineStr">
        <is>
          <t>阿哈拉瓦特律师事务所是印度领先的综合性律所，深耕外商直接投资、跨境并购、企业合规与争议解决领域，长期为进入印度市场的跨国企业提供从公司设立、合规运营到纠纷处理的全流程法律服务，以务实落地的方案帮助海外企业降低印度市场准入与运营风险。</t>
        </is>
      </c>
      <c r="I618" t="inlineStr">
        <is>
          <t>Bhupender Tanwar</t>
        </is>
      </c>
      <c r="J618" t="inlineStr">
        <is>
          <t>业务拓展主管</t>
        </is>
      </c>
      <c r="K618"/>
      <c r="L618" s="2" t="str">
        <f>=HYPERLINK("mailto:bhupender.tanwar@ahlawatassociates.in", "bhupender.tanwar@ahlawatassociates.in")</f>
        <v>bhupender.tanwar@ahlawatassociates.in</v>
      </c>
      <c r="M618" t="inlineStr">
        <is>
          <t xml:space="preserve"> +91 9996241042 </t>
        </is>
      </c>
      <c r="N618" s="3">
        <v>46083</v>
      </c>
      <c r="O618" t="inlineStr">
        <is>
          <t>已联系已回复</t>
        </is>
      </c>
      <c r="P618" t="inlineStr">
        <is>
          <t>没有符合要求的中文讲师</t>
        </is>
      </c>
      <c r="Q618" t="inlineStr">
        <is>
          <t>上汽培训课程</t>
        </is>
      </c>
      <c r="R618"/>
      <c r="S618"/>
      <c r="T618"/>
    </row>
    <row r="619" ht="25.5" customHeight="1">
      <c r="A619" t="inlineStr">
        <is>
          <t>毕马威印度 / KPMG India</t>
        </is>
      </c>
      <c r="B619" t="inlineStr">
        <is>
          <t>印度</t>
        </is>
      </c>
      <c r="C619" t="inlineStr">
        <is>
          <t>古尔格拉姆</t>
        </is>
      </c>
      <c r="D619" t="inlineStr">
        <is>
          <t>律所</t>
        </is>
      </c>
      <c r="E619" t="inlineStr">
        <is>
          <t>出海通识知识课程培训</t>
        </is>
      </c>
      <c r="F619" t="inlineStr">
        <is>
          <t>印度古尔格拉姆 DLF Cyber​​ City 二期 10-B 栋 8 楼，邮编：122002</t>
        </is>
      </c>
      <c r="G619" s="2" t="str">
        <f>=HYPERLINK("https://kpmg.com/in/en.html", "https://kpmg.com/in/en.html")</f>
        <v>https://kpmg.com/in/en.html</v>
      </c>
      <c r="H619" t="inlineStr">
        <is>
          <t>毕马威印度是全球四大专业服务机构在印度的核心成员机构，覆盖审计、税务、交易、风险与管理咨询，凭借全印度网点布局与行业深耕能力，为中资及跨国企业提供印度市场准入、投资架构、税务筹划、合规风控与数字化转型支持，是企业出海印度的权威合作伙伴。</t>
        </is>
      </c>
      <c r="I619"/>
      <c r="J619"/>
      <c r="K619"/>
      <c r="L619" s="2" t="str">
        <f>=HYPERLINK("mailto:kpmgindia@kpmg.com", "kpmgindia@kpmg.com")</f>
        <v>kpmgindia@kpmg.com</v>
      </c>
      <c r="M619" t="inlineStr">
        <is>
          <t>+91 22 3090 2011</t>
        </is>
      </c>
      <c r="N619" s="3">
        <v>46083</v>
      </c>
      <c r="O619" t="inlineStr">
        <is>
          <t>已联系未回复</t>
        </is>
      </c>
      <c r="P619"/>
      <c r="Q619" t="inlineStr">
        <is>
          <t>上汽培训课程</t>
        </is>
      </c>
      <c r="R619"/>
      <c r="S619"/>
      <c r="T619"/>
    </row>
    <row r="620" ht="25.5" customHeight="1">
      <c r="A620" t="inlineStr">
        <is>
          <t>AZB合伙人律师事务所 / AZB &amp; Partners</t>
        </is>
      </c>
      <c r="B620" t="inlineStr">
        <is>
          <t>印度</t>
        </is>
      </c>
      <c r="C620" t="inlineStr">
        <is>
          <t>新德里</t>
        </is>
      </c>
      <c r="D620" t="inlineStr">
        <is>
          <t>律所</t>
        </is>
      </c>
      <c r="E620" t="inlineStr">
        <is>
          <t>出海通识知识课程培训</t>
        </is>
      </c>
      <c r="F620" t="inlineStr">
        <is>
          <t>分布在印度多个地区</t>
        </is>
      </c>
      <c r="G620" s="2" t="str">
        <f>=HYPERLINK("https://www.azbpartners.com/", "https://www.azbpartners.com/")</f>
        <v>https://www.azbpartners.com/</v>
      </c>
      <c r="H620" t="inlineStr">
        <is>
          <t>AZB &amp; Partners 是印度顶级全能型律所，在并购、私募股权、资本市场、金融与监管领域稳居市场第一梯队，服务大量世界 500 强、跨国公司与投资机构，擅长处理印度最复杂的跨境交易与监管事项，为海外投资者进入印度提供顶尖法律与商业解决方案。</t>
        </is>
      </c>
      <c r="I620" t="inlineStr">
        <is>
          <t>Bhuvana Veeraragavan</t>
        </is>
      </c>
      <c r="J620" t="inlineStr">
        <is>
          <t>合伙人</t>
        </is>
      </c>
      <c r="K620"/>
      <c r="L620" s="2" t="str">
        <f>=HYPERLINK("mailto:bhuvana.veeraragavan@azbpartners.com", "bhuvana.veeraragavan@azbpartners.com")</f>
        <v>bhuvana.veeraragavan@azbpartners.com</v>
      </c>
      <c r="M620" t="inlineStr">
        <is>
          <t>+ 91 80 4240 0500</t>
        </is>
      </c>
      <c r="N620" s="3">
        <v>46083</v>
      </c>
      <c r="O620" t="inlineStr">
        <is>
          <t>已联系已回复</t>
        </is>
      </c>
      <c r="P620" t="inlineStr">
        <is>
          <t>没有符合要求的中文讲师</t>
        </is>
      </c>
      <c r="Q620" t="inlineStr">
        <is>
          <t>上汽培训课程</t>
        </is>
      </c>
      <c r="R620"/>
      <c r="S620"/>
      <c r="T620"/>
    </row>
    <row r="621" ht="25.5" customHeight="1">
      <c r="A621" t="inlineStr">
        <is>
          <t>IndusLaw律师事务所 / IndusLaw</t>
        </is>
      </c>
      <c r="B621" t="inlineStr">
        <is>
          <t>印度</t>
        </is>
      </c>
      <c r="C621" t="inlineStr">
        <is>
          <t>新德里</t>
        </is>
      </c>
      <c r="D621" t="inlineStr">
        <is>
          <t>律所</t>
        </is>
      </c>
      <c r="E621" t="inlineStr">
        <is>
          <t>出海通识知识课程培训</t>
        </is>
      </c>
      <c r="F621" t="inlineStr">
        <is>
          <t>分布在印度多个地区</t>
        </is>
      </c>
      <c r="G621" s="2" t="str">
        <f>=HYPERLINK("https://cms-induslaw.com/en/ind/", "https://cms-induslaw.com/en/ind/")</f>
        <v>https://cms-induslaw.com/en/ind/</v>
      </c>
      <c r="H621" t="inlineStr">
        <is>
          <t>IndusLaw 是印度规模领先的全国性律所，业务覆盖公司并购、私募、投融资、合规、争议解决与知识产权，服务众多印度独角兽与跨国企业，具备覆盖全印度主要商业中心的服务网络，擅长以高效、商业化的法律方案支持海外企业在印落地与扩张。</t>
        </is>
      </c>
      <c r="I621" t="inlineStr">
        <is>
          <t>Mr. Avimukt Dar</t>
        </is>
      </c>
      <c r="J621"/>
      <c r="K621"/>
      <c r="L621" s="2" t="str">
        <f>=HYPERLINK("mailto:avimukt.dar@cms-induslaw.com", "avimukt.dar@cms-induslaw.com")</f>
        <v>avimukt.dar@cms-induslaw.com</v>
      </c>
      <c r="M621" t="inlineStr">
        <is>
          <t>+91 11 4782 1000</t>
        </is>
      </c>
      <c r="N621" s="3">
        <v>46083</v>
      </c>
      <c r="O621" t="inlineStr">
        <is>
          <t>已联系未回复</t>
        </is>
      </c>
      <c r="P621"/>
      <c r="Q621" t="inlineStr">
        <is>
          <t>上汽培训课程</t>
        </is>
      </c>
      <c r="R621"/>
      <c r="S621"/>
      <c r="T621"/>
    </row>
    <row r="622" ht="25.5" customHeight="1">
      <c r="A622" t="inlineStr">
        <is>
          <t>印度工商联合会/Federation of Indian Chambers of Commerce &amp; Industry (FICCI)</t>
        </is>
      </c>
      <c r="B622" t="inlineStr">
        <is>
          <t>印度</t>
        </is>
      </c>
      <c r="C622" t="inlineStr">
        <is>
          <t>新德里</t>
        </is>
      </c>
      <c r="D622" t="inlineStr">
        <is>
          <t>律所</t>
        </is>
      </c>
      <c r="E622" t="inlineStr">
        <is>
          <t>出海通识知识课程培训</t>
        </is>
      </c>
      <c r="F622" t="inlineStr">
        <is>
          <t>印度工商联合会（FICCI），联邦大厦，坦森路，新德里，110001</t>
        </is>
      </c>
      <c r="G622" s="2" t="str">
        <f>=HYPERLINK("https://www.ficci.in/", "https://www.ficci.in/")</f>
        <v>https://www.ficci.in/</v>
      </c>
      <c r="H622" t="inlineStr">
        <is>
          <t>印度工商联合会（FICCI）成立于 1927 年，是印度历史最悠久、规模最大的全国性工商领袖组织，连接印度超 25 万家企业与各行业协会，是印度政府与商界的核心对话平台，在政策倡导、经贸对接、市场推广与国际合作中发挥关键作用，为跨国企业对接印度资源提供权威桥梁。</t>
        </is>
      </c>
      <c r="I622"/>
      <c r="J622"/>
      <c r="K622"/>
      <c r="L622" s="2" t="str">
        <f>=HYPERLINK("mailto:ficci@ficci.com", "ficci@ficci.com")</f>
        <v>ficci@ficci.com</v>
      </c>
      <c r="M622" t="inlineStr">
        <is>
          <t>+91-11-23738760-70</t>
        </is>
      </c>
      <c r="N622" s="3">
        <v>46083</v>
      </c>
      <c r="O622" t="inlineStr">
        <is>
          <t>已联系未回复</t>
        </is>
      </c>
      <c r="P622"/>
      <c r="Q622" t="inlineStr">
        <is>
          <t>上汽培训课程</t>
        </is>
      </c>
      <c r="R622"/>
      <c r="S622"/>
      <c r="T622"/>
    </row>
    <row r="623" ht="25.5" customHeight="1">
      <c r="A623" t="inlineStr">
        <is>
          <t>安永（印度）/Ernst &amp; Young India</t>
        </is>
      </c>
      <c r="B623" t="inlineStr">
        <is>
          <t>印度</t>
        </is>
      </c>
      <c r="C623" t="inlineStr">
        <is>
          <t>孟买</t>
        </is>
      </c>
      <c r="D623" t="inlineStr">
        <is>
          <t>律所</t>
        </is>
      </c>
      <c r="E623" t="inlineStr">
        <is>
          <t>出海通识知识课程培训</t>
        </is>
      </c>
      <c r="F623" t="inlineStr">
        <is>
          <t>全球各地都有-印度有16所城市-戈雷冈（东）西部高速公路旁，尼尔隆知识园B-2座5楼
孟买 400063</t>
        </is>
      </c>
      <c r="G623" s="2" t="str">
        <f>=HYPERLINK("https://www.ey.com/en_in", "https://www.ey.com/en_in")</f>
        <v>https://www.ey.com/en_in</v>
      </c>
      <c r="H623" t="inlineStr">
        <is>
          <t>安永印度是全球领先的专业服务机构，提供审计、税务、战略咨询、交易与转型服务，依托全球网络与印度本地深度洞察，为出海印度的企业提供市场进入策略、投资合规、税务优化、供应链与数字化升级服务，助力企业在印度稳健经营、高效增长。</t>
        </is>
      </c>
      <c r="I623" t="inlineStr">
        <is>
          <t>Nicole.</t>
        </is>
      </c>
      <c r="J623" t="inlineStr">
        <is>
          <t>中国业务服务部高级经理</t>
        </is>
      </c>
      <c r="K623"/>
      <c r="L623" s="2" t="str">
        <f>=HYPERLINK("mailto:Yin.Yu@in.ey.co", "Yin.Yu@in.ey.co")</f>
        <v>Yin.Yu@in.ey.co</v>
      </c>
      <c r="M623" t="inlineStr">
        <is>
          <t>+91 9599207901</t>
        </is>
      </c>
      <c r="N623" s="3">
        <v>46083</v>
      </c>
      <c r="O623" t="inlineStr">
        <is>
          <t>已联系已回复</t>
        </is>
      </c>
      <c r="P623" t="inlineStr">
        <is>
          <t>正在询问对方是否有符合要求的讲师</t>
        </is>
      </c>
      <c r="Q623" t="inlineStr">
        <is>
          <t>上汽培训课程</t>
        </is>
      </c>
      <c r="R623"/>
      <c r="S623"/>
      <c r="T623"/>
    </row>
    <row r="624" ht="25.5" customHeight="1">
      <c r="A624" t="inlineStr">
        <is>
          <t>罗申美国际（印度）/RSM International indonesia</t>
        </is>
      </c>
      <c r="B624" t="inlineStr">
        <is>
          <t>印度</t>
        </is>
      </c>
      <c r="C624" t="inlineStr">
        <is>
          <t>孟买</t>
        </is>
      </c>
      <c r="D624" t="inlineStr">
        <is>
          <t>律所</t>
        </is>
      </c>
      <c r="E624" t="inlineStr">
        <is>
          <t>出海通识知识课程培训</t>
        </is>
      </c>
      <c r="F624" t="inlineStr">
        <is>
          <t>301-307，特克诺波利斯知识园，A座，MIDC，安德里东区，孟买 – 400 093。-印度多个办事处地点</t>
        </is>
      </c>
      <c r="G624" s="2" t="str">
        <f>=HYPERLINK("https://www.rsm.global/india", "https://www.rsm.global/india")</f>
        <v>https://www.rsm.global/india</v>
      </c>
      <c r="H624" t="inlineStr">
        <is>
          <t>罗申美国际是全球领先的会计与咨询网络，印度成员所专注为中型及成长型跨国企业提供审计、税务、合规与商业咨询，以 “全球资源 + 本地灵活” 的服务模式，为出海印度的企业提供高性价比、可落地的财税与运营支持，覆盖市场准入、合规落地与本地运营全环节。</t>
        </is>
      </c>
      <c r="I624"/>
      <c r="J624"/>
      <c r="K624"/>
      <c r="L624" s="2" t="str">
        <f>=HYPERLINK("mailto:emails@rsmindia.in", "emails@rsmindia.in")</f>
        <v>emails@rsmindia.in</v>
      </c>
      <c r="M624" t="inlineStr">
        <is>
          <t>022 6108 5555</t>
        </is>
      </c>
      <c r="N624" s="3">
        <v>46083</v>
      </c>
      <c r="O624" t="inlineStr">
        <is>
          <t>已联系未回复</t>
        </is>
      </c>
      <c r="P624"/>
      <c r="Q624" t="inlineStr">
        <is>
          <t>上汽培训课程</t>
        </is>
      </c>
      <c r="R624"/>
      <c r="S624"/>
      <c r="T624"/>
    </row>
    <row r="625" ht="25.5" customHeight="1">
      <c r="A625" t="inlineStr">
        <is>
          <t>印度尼西亚中华总商会/Perkumpulan Pengusaha Indonesia Tionghoa</t>
        </is>
      </c>
      <c r="B625" t="inlineStr">
        <is>
          <t>印度尼西亚</t>
        </is>
      </c>
      <c r="C625" t="inlineStr">
        <is>
          <t>雅加达市</t>
        </is>
      </c>
      <c r="D625" t="inlineStr">
        <is>
          <t>商会</t>
        </is>
      </c>
      <c r="E625" t="inlineStr">
        <is>
          <t>出海通识知识课程培训</t>
        </is>
      </c>
      <c r="F625" t="inlineStr">
        <is>
          <t>印尼-多个地址-中东西爪哇，巴厘岛
Sahid Sudirman 中心 57 楼 BC 单元
Jl。 Jenderal Sudirman No. 86, 雅加达 10220 - 印度尼西亚</t>
        </is>
      </c>
      <c r="G625" s="2" t="str">
        <f>=HYPERLINK("https://www.perpit.or.id/en/about-us", "https://www.perpit.or.id/en/about-us")</f>
        <v>https://www.perpit.or.id/en/about-us</v>
      </c>
      <c r="H625" t="inlineStr">
        <is>
          <t>印尼中华总商会是印尼最具影响力的华人华商社团之一，凝聚印尼各领域华企与工商精英，长期搭建中印尼经贸交流、政策对接、资源整合与企业互助平台，为中资企业落地印尼、融入本地市场提供务实支持与社群纽带。</t>
        </is>
      </c>
      <c r="I625"/>
      <c r="J625"/>
      <c r="K625"/>
      <c r="L625" s="2" t="str">
        <f>=HYPERLINK("mailto:perpitadm@yahoo.com", "perpitadm@yahoo.com")</f>
        <v>perpitadm@yahoo.com</v>
      </c>
      <c r="M625" t="inlineStr">
        <is>
          <t xml:space="preserve"> +62 21 50868200</t>
        </is>
      </c>
      <c r="N625" s="3">
        <v>46083</v>
      </c>
      <c r="O625" t="inlineStr">
        <is>
          <t>已联系未回复</t>
        </is>
      </c>
      <c r="P625"/>
      <c r="Q625" t="inlineStr">
        <is>
          <t>上汽培训课程</t>
        </is>
      </c>
      <c r="R625"/>
      <c r="S625"/>
      <c r="T625"/>
    </row>
    <row r="626" ht="25.5" customHeight="1">
      <c r="A626" t="inlineStr">
        <is>
          <t>印尼大学经济商业学院 /Faculty of Economics and Business, University of Indonesia (FEB UI)</t>
        </is>
      </c>
      <c r="B626" t="inlineStr">
        <is>
          <t>印度尼西亚</t>
        </is>
      </c>
      <c r="C626" t="inlineStr">
        <is>
          <t>西爪哇</t>
        </is>
      </c>
      <c r="D626" t="inlineStr">
        <is>
          <t>高校</t>
        </is>
      </c>
      <c r="E626" t="inlineStr">
        <is>
          <t>出海通识知识课程培训</t>
        </is>
      </c>
      <c r="F626" t="inlineStr">
        <is>
          <t>印度尼西亚大学经济与商业学院，UI Depok 校区，德波，西爪哇，印度尼西亚，16424</t>
        </is>
      </c>
      <c r="G626" s="2" t="str">
        <f>=HYPERLINK("https://feb.ui.ac.id/", "https://feb.ui.ac.id/")</f>
        <v>https://feb.ui.ac.id/</v>
      </c>
      <c r="H626" t="inlineStr">
        <is>
          <t>印尼大学经济商业学院是印尼历史最悠久、学术排名顶尖的商科院校，拥有国际权威认证与深厚政商学界资源，聚焦经济政策、商业管理与区域经济研究，是印尼商业人才培养与经济智库的核心平台，可为出海企业提供学术研究、人才对接与市场洞察支持。</t>
        </is>
      </c>
      <c r="I626"/>
      <c r="J626"/>
      <c r="K626"/>
      <c r="L626" s="2" t="str">
        <f>=HYPERLINK("mailto:comm.feb@ui.ac.id", "comm.feb@ui.ac.id")</f>
        <v>comm.feb@ui.ac.id</v>
      </c>
      <c r="M626" t="inlineStr">
        <is>
          <t>+62 21 - 727 2425, 727 2646</t>
        </is>
      </c>
      <c r="N626" s="3">
        <v>46083</v>
      </c>
      <c r="O626" t="inlineStr">
        <is>
          <t>已联系未回复</t>
        </is>
      </c>
      <c r="P626"/>
      <c r="Q626" t="inlineStr">
        <is>
          <t>上汽培训课程</t>
        </is>
      </c>
      <c r="R626"/>
      <c r="S626"/>
      <c r="T626"/>
    </row>
    <row r="627" ht="25.5" customHeight="1">
      <c r="A627" t="inlineStr">
        <is>
          <t>印尼工商总会 / Indonesian Chamber of Commerce and Industry (KADIN)</t>
        </is>
      </c>
      <c r="B627" t="inlineStr">
        <is>
          <t>印度尼西亚</t>
        </is>
      </c>
      <c r="C627" t="inlineStr">
        <is>
          <t>雅加达市</t>
        </is>
      </c>
      <c r="D627" t="inlineStr">
        <is>
          <t>商协会</t>
        </is>
      </c>
      <c r="E627" t="inlineStr">
        <is>
          <t>出海通识知识课程培训</t>
        </is>
      </c>
      <c r="F627" t="inlineStr">
        <is>
          <t>Jl。 HR Rasuna Said 布洛克 X-5 No.Kav。 2-3, 库宁岸, 雅加达 12950</t>
        </is>
      </c>
      <c r="G627" s="2" t="str">
        <f>=HYPERLINK("https://kadin.id/en/", "https://kadin.id/en/")</f>
        <v>https://kadin.id/en/</v>
      </c>
      <c r="H627" t="inlineStr">
        <is>
          <t>印尼工商总会是印尼全国最高级别的官方工商联合体，代表印尼各行业企业与地方商会，是政府与市场间的核心对话桥梁，主导政策建议、经贸促进、国际合作与商事协调，为外资企业在印尼开展业务提供权威对接渠道与营商环境支持。</t>
        </is>
      </c>
      <c r="I627"/>
      <c r="J627"/>
      <c r="K627"/>
      <c r="L627" s="2" t="str">
        <f>=HYPERLINK("mailto:sekretariat@kadin.id", "sekretariat@kadin.id")</f>
        <v>sekretariat@kadin.id</v>
      </c>
      <c r="M627" t="inlineStr">
        <is>
          <t>
+62 21 5274503</t>
        </is>
      </c>
      <c r="N627" s="3">
        <v>46083</v>
      </c>
      <c r="O627" t="inlineStr">
        <is>
          <t>已联系未回复</t>
        </is>
      </c>
      <c r="P627"/>
      <c r="Q627" t="inlineStr">
        <is>
          <t>上汽培训课程</t>
        </is>
      </c>
      <c r="R627"/>
      <c r="S627"/>
      <c r="T627"/>
    </row>
    <row r="628" ht="25.5" customHeight="1">
      <c r="A628" t="inlineStr">
        <is>
          <t>普华永道印尼 / PwC Indonesia</t>
        </is>
      </c>
      <c r="B628" t="inlineStr">
        <is>
          <t>印度尼西亚</t>
        </is>
      </c>
      <c r="C628" t="inlineStr">
        <is>
          <t>雅加达市</t>
        </is>
      </c>
      <c r="D628" t="inlineStr">
        <is>
          <t>律所</t>
        </is>
      </c>
      <c r="E628" t="inlineStr">
        <is>
          <t>出海通识知识课程培训</t>
        </is>
      </c>
      <c r="F628" t="inlineStr">
        <is>
          <t>多个办事处</t>
        </is>
      </c>
      <c r="G628" s="2" t="str">
        <f>=HYPERLINK("https://www.pwc.com/id/en/", "https://www.pwc.com/id/en/")</f>
        <v>https://www.pwc.com/id/en/</v>
      </c>
      <c r="H628" t="inlineStr">
        <is>
          <t>普华永道印尼是全球四大专业服务机构在印尼的核心成员所，提供审计、税务、交易、风险管控与战略咨询全链条服务，凭借深厚本地监管经验与全球化网络，为出海印尼的企业提供市场准入、财税合规、运营优化与风险管理一站式解决方案。</t>
        </is>
      </c>
      <c r="I628" t="inlineStr">
        <is>
          <t xml:space="preserve">Sella Law </t>
        </is>
      </c>
      <c r="J628" t="inlineStr">
        <is>
          <t>中国区总部，业务保证</t>
        </is>
      </c>
      <c r="K628"/>
      <c r="L628" s="2" t="str">
        <f>=HYPERLINK("mailto:sella.law@pwc.com", "sella.law@pwc.com")</f>
        <v>sella.law@pwc.com</v>
      </c>
      <c r="M628" t="inlineStr">
        <is>
          <t>WeChat ID is Sellalau/+6282391422437</t>
        </is>
      </c>
      <c r="N628" s="3">
        <v>46083</v>
      </c>
      <c r="O628" t="inlineStr">
        <is>
          <t>已联系已回复</t>
        </is>
      </c>
      <c r="P628" t="inlineStr">
        <is>
          <t>商讨中，对方在着手为我方准备方案及报价</t>
        </is>
      </c>
      <c r="Q628" t="inlineStr">
        <is>
          <t>上汽培训课程</t>
        </is>
      </c>
      <c r="R628"/>
      <c r="S628"/>
      <c r="T628"/>
    </row>
    <row r="629" ht="25.5" customHeight="1">
      <c r="A629" t="inlineStr">
        <is>
          <t>登佰斯HPRP律师事务所 / Dentons HPRP Law Firm</t>
        </is>
      </c>
      <c r="B629" t="inlineStr">
        <is>
          <t>印度尼西亚</t>
        </is>
      </c>
      <c r="C629" t="inlineStr">
        <is>
          <t>雅加达市</t>
        </is>
      </c>
      <c r="D629" t="inlineStr">
        <is>
          <t>律所</t>
        </is>
      </c>
      <c r="E629" t="inlineStr">
        <is>
          <t>出海通识知识课程培训</t>
        </is>
      </c>
      <c r="F629" t="inlineStr">
        <is>
          <t>印度尼西亚 雅加达 10220
詹德拉尔·苏迪曼将军街 1 号地块
BNI城市大厦 46号楼
大成律师事务所楼层 – 4楼</t>
        </is>
      </c>
      <c r="G629" s="2" t="str">
        <f>=HYPERLINK("https://dentons.hprplawyers.com/", "https://dentons.hprplawyers.com/")</f>
        <v>https://dentons.hprplawyers.com/</v>
      </c>
      <c r="H629" t="inlineStr">
        <is>
          <t>登佰斯 HPRP 是印尼领先的国际精品律所，依托大成全球法律服务网络，专注跨境投资、并购、合规、争议解决与资本市场业务，擅长处理外资准入、监管合规与复杂商业法律事务，为中资企业在印尼投资运营提供国际化与本地化结合的法律保障。</t>
        </is>
      </c>
      <c r="I629" t="inlineStr">
        <is>
          <t>Abraham Sylvester Harryandi</t>
        </is>
      </c>
      <c r="J629" t="inlineStr">
        <is>
          <t>合作伙伴</t>
        </is>
      </c>
      <c r="K629"/>
      <c r="L629" s="2" t="str">
        <f>=HYPERLINK("mailto:abraham.harryandi@dentons.com", "abraham.harryandi@dentons.com")</f>
        <v>abraham.harryandi@dentons.com</v>
      </c>
      <c r="M629" t="inlineStr">
        <is>
          <t>+62 21 5701837</t>
        </is>
      </c>
      <c r="N629" s="3">
        <v>46083</v>
      </c>
      <c r="O629" t="inlineStr">
        <is>
          <t>已联系已回复</t>
        </is>
      </c>
      <c r="P629" t="inlineStr">
        <is>
          <t>没有符合要求的讲师，一家微信，未来合作</t>
        </is>
      </c>
      <c r="Q629" t="inlineStr">
        <is>
          <t>上汽培训课程</t>
        </is>
      </c>
      <c r="R629"/>
      <c r="S629"/>
      <c r="T629"/>
    </row>
    <row r="630" ht="25.5" customHeight="1">
      <c r="A630" t="inlineStr">
        <is>
          <t>印度尼西亚律师协会 / PERADI (Indonesian Advocates Association)</t>
        </is>
      </c>
      <c r="B630" t="inlineStr">
        <is>
          <t>印度尼西亚</t>
        </is>
      </c>
      <c r="C630" t="inlineStr">
        <is>
          <t>雅加达市</t>
        </is>
      </c>
      <c r="D630" t="inlineStr">
        <is>
          <t>律所</t>
        </is>
      </c>
      <c r="E630" t="inlineStr">
        <is>
          <t>出海通识知识课程培训</t>
        </is>
      </c>
      <c r="F630" t="inlineStr">
        <is>
          <t>全国领导委员会秘书处，佩拉迪大厦，雅加达东部，Jl. Jend. Achmad Yani 街 116 号，邮编 13120</t>
        </is>
      </c>
      <c r="G630" s="2" t="str">
        <f>=HYPERLINK("https://peradi.or.id/", "https://peradi.or.id/")</f>
        <v>https://peradi.or.id/</v>
      </c>
      <c r="H630" t="inlineStr">
        <is>
          <t>印尼律师协会是印尼官方认可的全国性律师职业组织，依据印尼律师法设立，负责律师资质认证、执业规范、行业自律与法律职业培训，是印尼法律服务业的权威管理机构，可为外资企业提供合规执业律师资源与法律行业标准参考。</t>
        </is>
      </c>
      <c r="I630"/>
      <c r="J630"/>
      <c r="K630"/>
      <c r="L630" s="2" t="str">
        <f>=HYPERLINK("mailto:info@peradi.or.id", "info@peradi.or.id")</f>
        <v>info@peradi.or.id</v>
      </c>
      <c r="M630" t="inlineStr">
        <is>
          <t>+62 21 3883 6000</t>
        </is>
      </c>
      <c r="N630" s="3">
        <v>46083</v>
      </c>
      <c r="O630" t="inlineStr">
        <is>
          <t>已联系未回复</t>
        </is>
      </c>
      <c r="P630"/>
      <c r="Q630" t="inlineStr">
        <is>
          <t>上汽培训课程</t>
        </is>
      </c>
      <c r="R630"/>
      <c r="S630"/>
      <c r="T630"/>
    </row>
    <row r="631" ht="25.5" customHeight="1">
      <c r="A631" t="inlineStr">
        <is>
          <t>印度尼西亚投资协调委员会/Indonesian Investment Coordinating Board (BKPM)</t>
        </is>
      </c>
      <c r="B631" t="inlineStr">
        <is>
          <t>印度尼西亚</t>
        </is>
      </c>
      <c r="C631" t="inlineStr">
        <is>
          <t>雅加达市</t>
        </is>
      </c>
      <c r="D631" t="inlineStr">
        <is>
          <t>协会</t>
        </is>
      </c>
      <c r="E631" t="inlineStr">
        <is>
          <t>出海通识知识课程培训</t>
        </is>
      </c>
      <c r="F631" t="inlineStr">
        <is>
          <t>Jl。加托·苏布罗托号 44, 雅加达 12190</t>
        </is>
      </c>
      <c r="G631" s="2" t="str">
        <f>=HYPERLINK("https://www.bkpm.go.id/", "https://www.bkpm.go.id/")</f>
        <v>https://www.bkpm.go.id/</v>
      </c>
      <c r="H631" t="inlineStr">
        <is>
          <t>印尼投资协调委员会是印尼负责投资促进与审批的核心政府机构，统一管理外资准入、投资许可、项目落地与投资便利化服务，发布投资政策与优先行业目录，为外国投资者提供一站式投资服务，是企业进入印尼市场的官方对接窗口。</t>
        </is>
      </c>
      <c r="I631"/>
      <c r="J631"/>
      <c r="K631"/>
      <c r="L631" s="2" t="str">
        <f>=HYPERLINK("mailto:info@bkpm.go.id", "info@bkpm.go.id")</f>
        <v>info@bkpm.go.id</v>
      </c>
      <c r="M631" t="inlineStr">
        <is>
          <t>+ 62 21 5252 008</t>
        </is>
      </c>
      <c r="N631" s="3">
        <v>46083</v>
      </c>
      <c r="O631" t="inlineStr">
        <is>
          <t>已联系未回复</t>
        </is>
      </c>
      <c r="P631"/>
      <c r="Q631" t="inlineStr">
        <is>
          <t>上汽培训课程</t>
        </is>
      </c>
      <c r="R631"/>
      <c r="S631"/>
      <c r="T631"/>
    </row>
    <row r="632" ht="25.5" customHeight="1">
      <c r="A632" t="inlineStr">
        <is>
          <t>罗申美国际（印度尼西亚）/RSM International indonesia</t>
        </is>
      </c>
      <c r="B632" t="inlineStr">
        <is>
          <t>印度尼西亚</t>
        </is>
      </c>
      <c r="C632" t="inlineStr">
        <is>
          <t>雅加达市</t>
        </is>
      </c>
      <c r="D632" t="inlineStr">
        <is>
          <t>律所</t>
        </is>
      </c>
      <c r="E632" t="inlineStr">
        <is>
          <t>出海通识知识课程培训</t>
        </is>
      </c>
      <c r="F632" t="inlineStr">
        <is>
          <t>雅加达办事处
亚洲广场10楼
Jalan Jendral Sudirman Kav。 59 雅加达 12190 印度尼西亚
泗水办事处
Pakuwon 中心塔，Tunjungan 广场 5 号，11 楼，06 单元
Jalan Embong Malang No 1-3-5 Surabaya 60261 印度尼西亚</t>
        </is>
      </c>
      <c r="G632" s="2" t="str">
        <f>=HYPERLINK("https://www.rsm.global/indonesia/en", "https://www.rsm.global/indonesia/en")</f>
        <v>https://www.rsm.global/indonesia/en</v>
      </c>
      <c r="H632" t="inlineStr">
        <is>
          <t>罗申美国际印尼成员所是全球领先的会计与咨询网络机构，专注为成长型与跨国企业提供审计、税务、合规及商业咨询服务，以灵活高效的本地执行能力结合全球资源，为出海印尼企业提供高性价比的财税合规、运营落地与风险管理支持。</t>
        </is>
      </c>
      <c r="I632"/>
      <c r="J632"/>
      <c r="K632"/>
      <c r="L632" s="2" t="str">
        <f>=HYPERLINK("mailto:inquiry@rsm.id", "inquiry@rsm.id")</f>
        <v>inquiry@rsm.id</v>
      </c>
      <c r="M632" t="inlineStr">
        <is>
          <t>+62 21 5140 1340</t>
        </is>
      </c>
      <c r="N632" s="3">
        <v>46083</v>
      </c>
      <c r="O632" t="inlineStr">
        <is>
          <t>已联系已回复</t>
        </is>
      </c>
      <c r="P632" t="inlineStr">
        <is>
          <t>没有符合要求的中国讲师，未来合适的时候可以再展开合作</t>
        </is>
      </c>
      <c r="Q632" t="inlineStr">
        <is>
          <t>上汽培训课程</t>
        </is>
      </c>
      <c r="R632"/>
      <c r="S632"/>
      <c r="T632"/>
    </row>
    <row r="633" ht="25.5" customHeight="1">
      <c r="A633" t="inlineStr">
        <is>
          <t>LEAL ISLA &amp; HORVÁTH, S.C.</t>
        </is>
      </c>
      <c r="B633" t="inlineStr">
        <is>
          <t>墨西哥</t>
        </is>
      </c>
      <c r="C633" t="inlineStr">
        <is>
          <t>圣佩德罗加尔萨加西亚市</t>
        </is>
      </c>
      <c r="D633" t="inlineStr">
        <is>
          <t>律所</t>
        </is>
      </c>
      <c r="E633" t="inlineStr">
        <is>
          <t>出海通识知识课程培训</t>
        </is>
      </c>
      <c r="F633" t="inlineStr">
        <is>
          <t>墨西哥 新莱昂州，圣佩德罗加尔萨加西亚市，瓦莱奥连特区，圣帕特里西奥营大街 109 号，10 楼，1024 室，邮编 66278</t>
        </is>
      </c>
      <c r="G633" s="2" t="str">
        <f>=HYPERLINK("https://lealisla.com.mx/", "https://lealisla.com.mx/")</f>
        <v>https://lealisla.com.mx/</v>
      </c>
      <c r="H633" t="inlineStr">
        <is>
          <t>LEAL ISLA &amp; HORVÁTH, S.C.是墨西哥本土知名综合性律所，深耕跨境投资、商事合规、争议解决与税务法律领域，尤其擅长为中资及跨国企业提供墨西哥市场准入、运营合规审核、跨境交易架构设计等全流程法律服务，依托深厚的本地法律与监管洞察，帮助出海企业规避法律风险、合规稳健运营，是中资企业出海墨西哥的核心法律合作伙伴之一。</t>
        </is>
      </c>
      <c r="I633" t="inlineStr">
        <is>
          <t>Mr.Zita Horváth</t>
        </is>
      </c>
      <c r="J633"/>
      <c r="K633"/>
      <c r="L633" s="2" t="str">
        <f>=HYPERLINK("mailto:zita.horvath@lealisla.com.mx", "zita.horvath@lealisla.com.mx")</f>
        <v>zita.horvath@lealisla.com.mx</v>
      </c>
      <c r="M633" t="inlineStr">
        <is>
          <t>81 8212 5923</t>
        </is>
      </c>
      <c r="N633" s="3">
        <v>46083</v>
      </c>
      <c r="O633" t="inlineStr">
        <is>
          <t>未联系</t>
        </is>
      </c>
      <c r="P633"/>
      <c r="Q633" t="inlineStr">
        <is>
          <t>上汽培训课程</t>
        </is>
      </c>
      <c r="R633"/>
      <c r="S633"/>
      <c r="T633"/>
    </row>
    <row r="634" ht="25.5" customHeight="1">
      <c r="A634" t="inlineStr">
        <is>
          <t>墨西哥咨询公司/Consultora Mexicana</t>
        </is>
      </c>
      <c r="B634" t="inlineStr">
        <is>
          <t>墨西哥</t>
        </is>
      </c>
      <c r="C634" t="inlineStr">
        <is>
          <t>墨西哥城</t>
        </is>
      </c>
      <c r="D634" t="inlineStr">
        <is>
          <t>咨询公司</t>
        </is>
      </c>
      <c r="E634" t="inlineStr">
        <is>
          <t>出海通识知识课程培训</t>
        </is>
      </c>
      <c r="F634" t="inlineStr">
        <is>
          <t>墨西哥 科技产业园 Z 街区，软件大道 无门牌号</t>
        </is>
      </c>
      <c r="G634" s="2" t="str">
        <f>=HYPERLINK("https://consultoramexicana.com/", "https://consultoramexicana.com/")</f>
        <v>https://consultoramexicana.com/</v>
      </c>
      <c r="H634" t="inlineStr">
        <is>
          <t>墨西哥咨询公司（Consultora Mexicana）是本土专业出海配套咨询机构，聚焦外资企业在墨落地全流程服务，核心涵盖市场调研、政策解读、本地资源对接、运营方案设计等，精准匹配中资企业出海需求，帮助企业快速熟悉墨西哥营商环境、破解本地化运营难题，降低市场进入成本与试错风险。</t>
        </is>
      </c>
      <c r="I634"/>
      <c r="J634"/>
      <c r="K634"/>
      <c r="L634" s="2" t="str">
        <f>=HYPERLINK("mailto:contacto@consultoramexicana.com.mx", "contacto@consultoramexicana.com.mx")</f>
        <v>contacto@consultoramexicana.com.mx</v>
      </c>
      <c r="M634" t="inlineStr">
        <is>
          <t>(834)  316 9502</t>
        </is>
      </c>
      <c r="N634" s="3">
        <v>46083</v>
      </c>
      <c r="O634" t="inlineStr">
        <is>
          <t>未联系</t>
        </is>
      </c>
      <c r="P634"/>
      <c r="Q634" t="inlineStr">
        <is>
          <t>上汽培训课程</t>
        </is>
      </c>
      <c r="R634"/>
      <c r="S634"/>
      <c r="T634"/>
    </row>
    <row r="635" ht="25.5" customHeight="1">
      <c r="A635" t="inlineStr">
        <is>
          <t>GBA拉丁美洲贸易投资顾问有限公司/GBA LatAm Trade and Investment Advisors</t>
        </is>
      </c>
      <c r="B635" t="inlineStr">
        <is>
          <t>墨西哥</t>
        </is>
      </c>
      <c r="C635" t="inlineStr">
        <is>
          <t>墨西哥城</t>
        </is>
      </c>
      <c r="D635" t="inlineStr">
        <is>
          <t>咨询公司</t>
        </is>
      </c>
      <c r="E635" t="inlineStr">
        <is>
          <t>出海通识知识课程培训</t>
        </is>
      </c>
      <c r="F635" t="inlineStr">
        <is>
          <t>香港九龙红鸾道38号嘉里酒店2楼。</t>
        </is>
      </c>
      <c r="G635" s="2" t="str">
        <f>=HYPERLINK("https://gbalatamtradeinvestment.com/", "https://gbalatamtradeinvestment.com/")</f>
        <v>https://gbalatamtradeinvestment.com/</v>
      </c>
      <c r="H635" t="inlineStr">
        <is>
          <t>GBA拉丁美洲贸易投资顾问有限公司（GBA LatAm）专注于拉美地区，尤其深耕墨西哥市场，提供贸易对接、投资规划、政策咨询、跨境资源整合等一站式服务，依托丰富的墨本地政企资源与跨境服务经验，为中资企业搭建与墨西哥商家、机构的合作桥梁，助力企业高效开拓墨西哥贸易与投资市场。</t>
        </is>
      </c>
      <c r="I635"/>
      <c r="J635"/>
      <c r="K635"/>
      <c r="L635" s="2" t="str">
        <f>=HYPERLINK("mailto:contact@gbalatamtradeandinvestment.com", "contact@gbalatamtradeandinvestment.com")</f>
        <v>contact@gbalatamtradeandinvestment.com</v>
      </c>
      <c r="M635"/>
      <c r="N635" s="3">
        <v>46083</v>
      </c>
      <c r="O635" t="inlineStr">
        <is>
          <t>未联系</t>
        </is>
      </c>
      <c r="P635"/>
      <c r="Q635" t="inlineStr">
        <is>
          <t>上汽培训课程</t>
        </is>
      </c>
      <c r="R635"/>
      <c r="S635"/>
      <c r="T635"/>
    </row>
    <row r="636" ht="25.5" customHeight="1">
      <c r="A636" t="inlineStr">
        <is>
          <t>在墨西哥开展业务/Doing Business Mexico</t>
        </is>
      </c>
      <c r="B636" t="inlineStr">
        <is>
          <t>墨西哥</t>
        </is>
      </c>
      <c r="C636" t="inlineStr">
        <is>
          <t>墨西哥城</t>
        </is>
      </c>
      <c r="D636" t="inlineStr">
        <is>
          <t>企业</t>
        </is>
      </c>
      <c r="E636" t="inlineStr">
        <is>
          <t>出海通识知识课程培训</t>
        </is>
      </c>
      <c r="F636" t="inlineStr">
        <is>
          <t>贝尼托华雷斯，墨西哥城丘鲁布斯科河 601</t>
        </is>
      </c>
      <c r="G636" s="2" t="str">
        <f>=HYPERLINK("https://doingbusiness-mexico.com/", "https://doingbusiness-mexico.com/")</f>
        <v>https://doingbusiness-mexico.com/</v>
      </c>
      <c r="H636" t="inlineStr">
        <is>
          <t>“在墨西哥开展业务（Doing Business Mexico）”是聚焦墨西哥营商领域的专业指南体系，整合墨西哥市场准入、合规运营、财税政策、行业趋势等核心信息，多以手册、专栏或培训内容形式呈现，为计划出海墨西哥、已在墨运营的中资企业提供清晰的实操指引，助力企业快速掌握当地经商核心要点，规避运营误区。</t>
        </is>
      </c>
      <c r="I636"/>
      <c r="J636"/>
      <c r="K636"/>
      <c r="L636" s="2" t="str">
        <f>=HYPERLINK("mailto:info@doingbusiness-mexico.com", "info@doingbusiness-mexico.com")</f>
        <v>info@doingbusiness-mexico.com</v>
      </c>
      <c r="M636" t="inlineStr">
        <is>
          <t>+52 55 1683 2289</t>
        </is>
      </c>
      <c r="N636" s="3">
        <v>46083</v>
      </c>
      <c r="O636" t="inlineStr">
        <is>
          <t>未联系</t>
        </is>
      </c>
      <c r="P636"/>
      <c r="Q636" t="inlineStr">
        <is>
          <t>上汽培训课程</t>
        </is>
      </c>
      <c r="R636"/>
      <c r="S636"/>
      <c r="T636"/>
    </row>
    <row r="637" ht="25.5" customHeight="1">
      <c r="A637" t="inlineStr">
        <is>
          <t>墨西哥外贸委员会/Consejo Empresarial Mexicano de Comercio Exterior (COMCE)</t>
        </is>
      </c>
      <c r="B637" t="inlineStr">
        <is>
          <t>墨西哥</t>
        </is>
      </c>
      <c r="C637" t="inlineStr">
        <is>
          <t>墨西哥城</t>
        </is>
      </c>
      <c r="D637" t="inlineStr">
        <is>
          <t>协会</t>
        </is>
      </c>
      <c r="E637" t="inlineStr">
        <is>
          <t>出海通识知识课程培训</t>
        </is>
      </c>
      <c r="F637" t="inlineStr">
        <is>
          <t>墨西哥城，米格尔·伊达尔戈区帕尔米塔斯，蒙特·埃尔布鲁斯街124号，8楼，邮编11560</t>
        </is>
      </c>
      <c r="G637" s="2" t="str">
        <f>=HYPERLINK("https://comce.org.mx/", "https://comce.org.mx/")</f>
        <v>https://comce.org.mx/</v>
      </c>
      <c r="H637" t="inlineStr">
        <is>
          <t>墨西哥外贸委员会（COMCE）是墨西哥权威的民间外贸促进机构，连接墨西哥政府、本土企业与国际商家，核心职能包括推动墨对外贸易发展、促进跨境投资合作、参与外贸政策制定与解读，可为中资企业提供墨西哥外贸规则咨询、贸易伙伴对接、展会资源链接等服务，是企业拓展墨西哥外贸市场的重要纽带。</t>
        </is>
      </c>
      <c r="I637"/>
      <c r="J637"/>
      <c r="K637"/>
      <c r="L637" s="2" t="str">
        <f>=HYPERLINK("mailto:infoservicios@comce.org.mx", "infoservicios@comce.org.mx")</f>
        <v>infoservicios@comce.org.mx</v>
      </c>
      <c r="M637" t="inlineStr">
        <is>
          <t>(+52) 55 5231 7100</t>
        </is>
      </c>
      <c r="N637" s="3">
        <v>46083</v>
      </c>
      <c r="O637" t="inlineStr">
        <is>
          <t>未联系</t>
        </is>
      </c>
      <c r="P637"/>
      <c r="Q637" t="inlineStr">
        <is>
          <t>上汽培训课程</t>
        </is>
      </c>
      <c r="R637"/>
      <c r="S637"/>
      <c r="T637"/>
    </row>
    <row r="638" ht="25.5" customHeight="1">
      <c r="A638" t="inlineStr">
        <is>
          <t>毕马威（墨西哥）/KPMG Mexico</t>
        </is>
      </c>
      <c r="B638" t="inlineStr">
        <is>
          <t>墨西哥</t>
        </is>
      </c>
      <c r="C638" t="inlineStr">
        <is>
          <t>墨西哥城</t>
        </is>
      </c>
      <c r="D638" t="inlineStr">
        <is>
          <t>律所</t>
        </is>
      </c>
      <c r="E638" t="inlineStr">
        <is>
          <t>出海通识知识课程培训</t>
        </is>
      </c>
      <c r="F638" t="inlineStr">
        <is>
          <t>Boulevard Manuel Ávila Camacho 176, Col. Reforma Social, 德尔米格尔伊达尔戈, 墨西哥城, 墨西哥, 11650</t>
        </is>
      </c>
      <c r="G638" s="2" t="str">
        <f>=HYPERLINK("https://kpmg.com/mx/es.html", "https://kpmg.com/mx/es.html")</f>
        <v>https://kpmg.com/mx/es.html</v>
      </c>
      <c r="H638" t="inlineStr">
        <is>
          <t>毕马威（墨西哥）是全球四大专业服务机构在墨核心成员所，覆盖审计、税务、交易咨询、风险管控与数字化转型等全领域，依托全球化网络与本地深厚的监管经验，为出海墨西哥的中资企业提供市场准入规划、财税合规审核、投资架构设计、运营优化等一站式服务，助力企业在墨合规经营、稳健发展。</t>
        </is>
      </c>
      <c r="I638"/>
      <c r="J638"/>
      <c r="K638"/>
      <c r="L638" s="2" t="str">
        <f>=HYPERLINK("mailto:asesoria@kpmg.com.mx", "asesoria@kpmg.com.mx")</f>
        <v>asesoria@kpmg.com.mx</v>
      </c>
      <c r="M638" t="inlineStr">
        <is>
          <t>+52 55 5246 8300</t>
        </is>
      </c>
      <c r="N638" s="3">
        <v>46083</v>
      </c>
      <c r="O638" t="inlineStr">
        <is>
          <t>已联系未回复</t>
        </is>
      </c>
      <c r="P638"/>
      <c r="Q638" t="inlineStr">
        <is>
          <t>上汽培训课程</t>
        </is>
      </c>
      <c r="R638"/>
      <c r="S638"/>
      <c r="T638"/>
    </row>
    <row r="639" ht="25.5" customHeight="1">
      <c r="A639" t="inlineStr">
        <is>
          <t>墨西哥投资贸易局/ProMéxico Trade and Investment</t>
        </is>
      </c>
      <c r="B639" t="inlineStr">
        <is>
          <t>墨西哥</t>
        </is>
      </c>
      <c r="C639" t="inlineStr">
        <is>
          <t>墨西哥城</t>
        </is>
      </c>
      <c r="D639" t="inlineStr">
        <is>
          <t>贸促局</t>
        </is>
      </c>
      <c r="E639" t="inlineStr">
        <is>
          <t>出海通识知识课程培训</t>
        </is>
      </c>
      <c r="F639" t="inlineStr">
        <is>
          <t>圣特雷莎路1679号，佩德雷加尔花园街区，邮编01900，阿尔瓦罗·奥夫雷贡区，墨西哥联邦区</t>
        </is>
      </c>
      <c r="G639" s="2" t="str">
        <f>=HYPERLINK("https://www.gob.mx/promexico", "https://www.gob.mx/promexico")</f>
        <v>https://www.gob.mx/promexico</v>
      </c>
      <c r="H639" t="inlineStr">
        <is>
          <t>墨西哥投资贸易局（ProMéxico）是墨西哥联邦政府核心机构，隶属于经济部，核心职能是促进墨西哥吸引外商直接投资、推动本国产品与服务出口，同时为外国投资者提供一站式投资服务，包括政策解读、投资许可办理、项目落地对接等，是中资企业出海墨西哥最核心的官方对接窗口之一。</t>
        </is>
      </c>
      <c r="I639"/>
      <c r="J639"/>
      <c r="K639"/>
      <c r="L639" s="2"/>
      <c r="M639" t="inlineStr">
        <is>
          <t>（55）5447 7000</t>
        </is>
      </c>
      <c r="N639" s="3">
        <v>46083</v>
      </c>
      <c r="O639" t="inlineStr">
        <is>
          <t>未联系</t>
        </is>
      </c>
      <c r="P639"/>
      <c r="Q639" t="inlineStr">
        <is>
          <t>上汽培训课程</t>
        </is>
      </c>
      <c r="R639"/>
      <c r="S639"/>
      <c r="T639"/>
    </row>
    <row r="640" ht="25.5" customHeight="1">
      <c r="A640" t="inlineStr">
        <is>
          <t>安永（墨西哥）/EY Mexico (Ernst &amp; Young Mexico)</t>
        </is>
      </c>
      <c r="B640" t="inlineStr">
        <is>
          <t>墨西哥</t>
        </is>
      </c>
      <c r="C640" t="inlineStr">
        <is>
          <t>墨西哥城</t>
        </is>
      </c>
      <c r="D640" t="inlineStr">
        <is>
          <t>律所</t>
        </is>
      </c>
      <c r="E640" t="inlineStr">
        <is>
          <t>出海通识知识课程培训</t>
        </is>
      </c>
      <c r="F640" t="inlineStr">
        <is>
          <t>墨西哥墨西哥城米格尔・伊达尔戈区格拉纳达国民陆军大道 843-B 号，邮编 11520</t>
        </is>
      </c>
      <c r="G640" s="2" t="str">
        <f>=HYPERLINK("https://www.ey.com/es_mx", "https://www.ey.com/es_mx")</f>
        <v>https://www.ey.com/es_mx</v>
      </c>
      <c r="H640" t="inlineStr">
        <is>
          <t>安永（墨西哥）是全球领先的专业服务机构，在墨提供审计、税务、战略咨询、跨境交易等全链条服务，凭借对墨西哥市场政策、行业动态的深度洞察，为中资企业出海提供市场进入策略、合规风控、财税优化、本地化运营支持等服务，助力企业快速适应墨市场、实现高效扩张。</t>
        </is>
      </c>
      <c r="I640"/>
      <c r="J640"/>
      <c r="K640"/>
      <c r="L640" s="2" t="str">
        <f>=HYPERLINK("mailto:ey.mexico@mx.ey.com", "ey.mexico@mx.ey.com")</f>
        <v>ey.mexico@mx.ey.com</v>
      </c>
      <c r="M640" t="inlineStr">
        <is>
          <t>+52 55 5283 1300</t>
        </is>
      </c>
      <c r="N640" s="3">
        <v>46083</v>
      </c>
      <c r="O640" t="inlineStr">
        <is>
          <t>已联系未回复</t>
        </is>
      </c>
      <c r="P640"/>
      <c r="Q640" t="inlineStr">
        <is>
          <t>上汽培训课程</t>
        </is>
      </c>
      <c r="R640"/>
      <c r="S640"/>
      <c r="T640"/>
    </row>
    <row r="641" ht="25.5" customHeight="1">
      <c r="A641" t="inlineStr">
        <is>
          <t>罗申美国际（墨西哥）/RSM International Mexico</t>
        </is>
      </c>
      <c r="B641" t="inlineStr">
        <is>
          <t>墨西哥</t>
        </is>
      </c>
      <c r="C641" t="inlineStr">
        <is>
          <t>墨西哥城</t>
        </is>
      </c>
      <c r="D641" t="inlineStr">
        <is>
          <t>律所</t>
        </is>
      </c>
      <c r="E641" t="inlineStr">
        <is>
          <t>出海通识知识课程培训</t>
        </is>
      </c>
      <c r="F641" t="inlineStr">
        <is>
          <t>墨西哥城南起义者大道 1800 号，德尔瓦莱区，邮编 03100</t>
        </is>
      </c>
      <c r="G641" s="2" t="str">
        <f>=HYPERLINK("https://www.rsm.global/mexico/es", "https://www.rsm.global/mexico/es")</f>
        <v>https://www.rsm.global/mexico/es</v>
      </c>
      <c r="H641" t="inlineStr">
        <is>
          <t>罗申美国际（墨西哥）是全球领先的会计与咨询网络成员所，专注为中资及跨国企业提供高性价比的本地化服务，核心涵盖审计、税务合规、财务咨询、运营落地指导等，依托灵活高效的本地执行团队，为出海墨西哥的成长型企业提供贴合需求的财税与运营支持，覆盖市场准入至稳定运营全环节。</t>
        </is>
      </c>
      <c r="I641"/>
      <c r="J641"/>
      <c r="K641"/>
      <c r="L641" s="2" t="str">
        <f>=HYPERLINK("mailto:difusion@rsmmx.mx", "difusion@rsmmx.mx")</f>
        <v>difusion@rsmmx.mx</v>
      </c>
      <c r="M641" t="inlineStr">
        <is>
          <t>+52 55 5093 6200</t>
        </is>
      </c>
      <c r="N641" s="3">
        <v>46083</v>
      </c>
      <c r="O641" t="inlineStr">
        <is>
          <t>未联系</t>
        </is>
      </c>
      <c r="P641"/>
      <c r="Q641" t="inlineStr">
        <is>
          <t>上汽培训课程</t>
        </is>
      </c>
      <c r="R641"/>
      <c r="S641"/>
      <c r="T641"/>
    </row>
    <row r="642" ht="25.5" customHeight="1">
      <c r="A642" t="inlineStr">
        <is>
          <t>贝克·麦坚时律师事务所 / Baker McKenzie</t>
        </is>
      </c>
      <c r="B642" t="inlineStr">
        <is>
          <t>墨西哥</t>
        </is>
      </c>
      <c r="C642" t="inlineStr">
        <is>
          <t>墨西哥城</t>
        </is>
      </c>
      <c r="D642" t="inlineStr">
        <is>
          <t>律所</t>
        </is>
      </c>
      <c r="E642" t="inlineStr">
        <is>
          <t>出海通识知识课程培训</t>
        </is>
      </c>
      <c r="F642" t="inlineStr">
        <is>
          <t>Edificio Virreyes Pedregal 24, 第12层 Lomas Virreyes / Col. Molino del Rey, 墨西哥城, 11040, 墨西哥</t>
        </is>
      </c>
      <c r="G642" s="2" t="str">
        <f>=HYPERLINK("https://www.bakermckenzie.com/en/locations/latin-america/mexico", "https://www.bakermckenzie.com/en/locations/latin-america/mexico")</f>
        <v>https://www.bakermckenzie.com/en/locations/latin-america/mexico</v>
      </c>
      <c r="H642" t="inlineStr">
        <is>
          <t>贝克·麦坚时律师事务所（Baker McKenzie）是全球顶级国际律所，在墨西哥设有专业团队，深耕跨境投资、商事合规、跨境并购、争议解决等领域，擅长处理复杂的墨西哥跨境法律事务，凭借全球化法律服务网络与本地法律资源，为中资企业出海墨西哥提供国际化、专业化的法律保障，助力企业规避跨境法律风险。</t>
        </is>
      </c>
      <c r="I642" t="inlineStr">
        <is>
          <t>Adrian Rodriguez-Montfort</t>
        </is>
      </c>
      <c r="J642" t="inlineStr">
        <is>
          <t>墨西哥业务拓展市场营销及公关经理</t>
        </is>
      </c>
      <c r="K642"/>
      <c r="L642" s="2" t="str">
        <f>=HYPERLINK("mailto:Adrian.Rodriguez@bakermckenzie.com", "Adrian.Rodriguez@bakermckenzie.com")</f>
        <v>Adrian.Rodriguez@bakermckenzie.com</v>
      </c>
      <c r="M642" t="inlineStr">
        <is>
          <t>+52 55 4335 6431</t>
        </is>
      </c>
      <c r="N642" s="3">
        <v>46083</v>
      </c>
      <c r="O642" t="inlineStr">
        <is>
          <t>已联系已回复</t>
        </is>
      </c>
      <c r="P642" t="inlineStr">
        <is>
          <t>对方表明没有符合要求的讲师，让我们找上海分部</t>
        </is>
      </c>
      <c r="Q642" t="inlineStr">
        <is>
          <t>上汽培训课程</t>
        </is>
      </c>
      <c r="R642"/>
      <c r="S642"/>
      <c r="T642"/>
    </row>
    <row r="643" ht="25.5" customHeight="1">
      <c r="A643" t="inlineStr">
        <is>
          <t>中国墨西哥商会/Mexican Chamber of Commerce in China (MEXCHAM)</t>
        </is>
      </c>
      <c r="B643" t="inlineStr">
        <is>
          <t>墨西哥</t>
        </is>
      </c>
      <c r="C643" t="inlineStr">
        <is>
          <t>墨西哥城</t>
        </is>
      </c>
      <c r="D643" t="inlineStr">
        <is>
          <t>商会</t>
        </is>
      </c>
      <c r="E643" t="inlineStr">
        <is>
          <t>出海通识知识课程培训</t>
        </is>
      </c>
      <c r="F643" t="inlineStr">
        <is>
          <t>墨西哥 墨西哥城 CDMX，米格尔・伊达尔戈区，阿姆普格拉纳达，圣华金河大道 498 号 2 楼 5 室，邮编 11529</t>
        </is>
      </c>
      <c r="G643" s="2" t="str">
        <f>=HYPERLINK("https://www.mexcham.org/", "https://www.mexcham.org/")</f>
        <v>https://www.mexcham.org/</v>
      </c>
      <c r="H643" t="inlineStr">
        <is>
          <t>中国墨西哥商会（MEXCHAM）成立于 2007 年，是专注推动中墨双边贸易与投资合作的权威非营利商会机构，总部设在北京，在中墨两国多地设有分支。作为中国极具影响力的拉美商会，MEXCHAM 长期链接两国政府、企业与行业资源，提供政策对接、市场信息、商务交流、合规咨询与经贸活动等综合服务，助力各类企业高效进入对方市场，是中墨经贸合作的核心桥梁与官方认可伙伴。</t>
        </is>
      </c>
      <c r="I643" t="inlineStr">
        <is>
          <t xml:space="preserve">Joyce Li </t>
        </is>
      </c>
      <c r="J643" t="inlineStr">
        <is>
          <t>商务经理</t>
        </is>
      </c>
      <c r="K643"/>
      <c r="L643" s="2" t="str">
        <f>=HYPERLINK("mailto:bj.info@mexcham.org", "bj.info@mexcham.org")</f>
        <v>bj.info@mexcham.org</v>
      </c>
      <c r="M643" t="inlineStr">
        <is>
          <t>+86 152 6022 8282</t>
        </is>
      </c>
      <c r="N643" s="3">
        <v>46083</v>
      </c>
      <c r="O643" t="inlineStr">
        <is>
          <t>已联系已回复</t>
        </is>
      </c>
      <c r="P643" t="inlineStr">
        <is>
          <t>商讨中，对方正在着手准备方案及报价</t>
        </is>
      </c>
      <c r="Q643" t="inlineStr">
        <is>
          <t>上汽培训课程</t>
        </is>
      </c>
      <c r="R643"/>
      <c r="S643"/>
      <c r="T643"/>
    </row>
    <row r="644" ht="25.5" customHeight="1">
      <c r="A644" t="inlineStr">
        <is>
          <t>国樽律师事务所（墨西哥分所）/GuoZun Law Firm (Mexico Office)</t>
        </is>
      </c>
      <c r="B644" t="inlineStr">
        <is>
          <t>墨西哥</t>
        </is>
      </c>
      <c r="C644" t="inlineStr">
        <is>
          <t>墨西哥城</t>
        </is>
      </c>
      <c r="D644" t="inlineStr">
        <is>
          <t>律所</t>
        </is>
      </c>
      <c r="E644" t="inlineStr">
        <is>
          <t>出海通识知识课程培训</t>
        </is>
      </c>
      <c r="F644"/>
      <c r="G644" s="2" t="str">
        <f>=HYPERLINK("https://www.guozunlaw.com/office-166.html", "https://www.guozunlaw.com/office-166.html")</f>
        <v>https://www.guozunlaw.com/office-166.html</v>
      </c>
      <c r="H644" t="inlineStr">
        <is>
          <t>国樽律师事务所墨西哥分所是国樽全球法律服务网络在拉美地区的重要直营机构，专注服务中国企业赴墨投资、运营与合规全周期需求。分所依托本土持牌律师与跨境法律团队，提供公司设立、合规风控、税务劳动、知识产权、跨境争议解决、海外并购等一站式法律服务，深度熟悉墨西哥法律体系与美墨加协定规则，以 “中国视角 + 本地落地” 能力，为出海企业提供稳定、专业、可执行的法律保障。</t>
        </is>
      </c>
      <c r="I644"/>
      <c r="J644"/>
      <c r="K644"/>
      <c r="L644" s="2" t="str">
        <f>=HYPERLINK("mailto:guozun@guozunlaw.com", "guozun@guozunlaw.com")</f>
        <v>guozun@guozunlaw.com</v>
      </c>
      <c r="M644" t="inlineStr">
        <is>
          <t>400-999-1590</t>
        </is>
      </c>
      <c r="N644" s="3">
        <v>46083</v>
      </c>
      <c r="O644" t="inlineStr">
        <is>
          <t>已联系未回复</t>
        </is>
      </c>
      <c r="P644"/>
      <c r="Q644" t="inlineStr">
        <is>
          <t>上汽培训课程</t>
        </is>
      </c>
      <c r="R644"/>
      <c r="S644"/>
      <c r="T644"/>
    </row>
    <row r="645" ht="25.5" customHeight="1">
      <c r="A645" t="inlineStr">
        <is>
          <t>际连集团（墨西哥）/Jilian Group (Mexico)</t>
        </is>
      </c>
      <c r="B645" t="inlineStr">
        <is>
          <t>墨西哥</t>
        </is>
      </c>
      <c r="C645" t="inlineStr">
        <is>
          <t>墨西哥城</t>
        </is>
      </c>
      <c r="D645" t="inlineStr">
        <is>
          <t>律所</t>
        </is>
      </c>
      <c r="E645" t="inlineStr">
        <is>
          <t>出海通识知识课程培训</t>
        </is>
      </c>
      <c r="F645" t="inlineStr">
        <is>
          <t>墨西哥 墨西哥城，圣卡塔琳娜街区，米格尔・安赫尔・德克韦多街 578 号 内 4 号</t>
        </is>
      </c>
      <c r="G645" s="2" t="str">
        <f>=HYPERLINK("https://www.jilianconsult.com/moxigegongchangsheli.html", "https://www.jilianconsult.com/moxigegongchangsheli.html")</f>
        <v>https://www.jilianconsult.com/moxigegongchangsheli.html</v>
      </c>
      <c r="H645" t="inlineStr">
        <is>
          <t>际连集团（墨西哥）是际连全球布局在北美核心区域的直营服务平台，专注为中国企业提供墨西哥市场落地全链条解决方案。业务覆盖公司注册、工厂建设、财税合规、人力社保、签证居留、市场准入与本地化运营等，拥有本土专业团队与成熟项目交付经验，服务覆盖电子、汽车零部件、新能源、制造业等多个领域，以 7×24 小时响应与一站式落地能力，成为中企进入墨西哥及北美市场的首选合作伙伴。</t>
        </is>
      </c>
      <c r="I645"/>
      <c r="J645"/>
      <c r="K645"/>
      <c r="L645" s="2" t="str">
        <f>=HYPERLINK("mailto:info@ijilian.com", "info@ijilian.com")</f>
        <v>info@ijilian.com</v>
      </c>
      <c r="M645" t="inlineStr">
        <is>
          <t>400-160-0899</t>
        </is>
      </c>
      <c r="N645" s="3">
        <v>46083</v>
      </c>
      <c r="O645" t="inlineStr">
        <is>
          <t>已联系未回复</t>
        </is>
      </c>
      <c r="P645"/>
      <c r="Q645" t="inlineStr">
        <is>
          <t>上汽培训课程</t>
        </is>
      </c>
      <c r="R645"/>
      <c r="S645"/>
      <c r="T645"/>
    </row>
    <row r="646" ht="25.5" customHeight="1">
      <c r="A646" t="inlineStr">
        <is>
          <t>德中商会/German-Chinese Chamber of Commerce (AHK China)</t>
        </is>
      </c>
      <c r="B646" t="inlineStr">
        <is>
          <t>德国</t>
        </is>
      </c>
      <c r="C646" t="inlineStr">
        <is>
          <t>柏林</t>
        </is>
      </c>
      <c r="D646" t="inlineStr">
        <is>
          <t>商会</t>
        </is>
      </c>
      <c r="E646" t="inlineStr">
        <is>
          <t>出海通识知识课程培训</t>
        </is>
      </c>
      <c r="F646" t="inlineStr">
        <is>
          <t>弗里德里希大街95号
IHZ高层建筑，7楼
10117 柏林</t>
        </is>
      </c>
      <c r="G646" s="2" t="str">
        <f>=HYPERLINK("http://www.chk-de.org/", "www.chk-de.org")</f>
        <v>www.chk-de.org</v>
      </c>
      <c r="H646" t="inlineStr">
        <is>
          <t>德中商会（AHK China）是连接中德两国企业的核心桥梁机构，依托德国工商会网络，聚焦中德双向投资与贸易合作，为计划出海德国的中资企业提供市场调研、政策解读、本地资源对接、商务洽谈等一站式服务，同时协助企业熟悉德国营商环境、合规要求，搭建中德企业合作纽带，降低中资企业出海德国的准入与运营成本。</t>
        </is>
      </c>
      <c r="I646"/>
      <c r="J646"/>
      <c r="K646"/>
      <c r="L646" s="2" t="str">
        <f>=HYPERLINK("mailto:info@chk-de.org", "info@chk-de.org")</f>
        <v>info@chk-de.org</v>
      </c>
      <c r="M646" t="inlineStr">
        <is>
          <t>+49 30 20917522</t>
        </is>
      </c>
      <c r="N646" s="3">
        <v>46083</v>
      </c>
      <c r="O646" t="inlineStr">
        <is>
          <t>已联系未回复</t>
        </is>
      </c>
      <c r="P646"/>
      <c r="Q646" t="inlineStr">
        <is>
          <t>上汽培训课程</t>
        </is>
      </c>
      <c r="R646"/>
      <c r="S646"/>
      <c r="T646"/>
    </row>
    <row r="647" ht="25.5" customHeight="1">
      <c r="A647" t="inlineStr">
        <is>
          <t>霍伊金律师事务所/HEUKING</t>
        </is>
      </c>
      <c r="B647" t="inlineStr">
        <is>
          <t>德国</t>
        </is>
      </c>
      <c r="C647" t="inlineStr">
        <is>
          <t>慕尼黑</t>
        </is>
      </c>
      <c r="D647" t="inlineStr">
        <is>
          <t>律所</t>
        </is>
      </c>
      <c r="E647" t="inlineStr">
        <is>
          <t>出海通识知识课程培训</t>
        </is>
      </c>
      <c r="F647" t="inlineStr">
        <is>
          <t>德国几乎每个城市都有办事处</t>
        </is>
      </c>
      <c r="G647" s="2" t="str">
        <f>=HYPERLINK("https://www.heuking.de/de/home.html", "https://www.heuking.de/de/home.html")</f>
        <v>https://www.heuking.de/de/home.html</v>
      </c>
      <c r="H647" t="inlineStr">
        <is>
          <t>霍伊金律师事务所（HEUKING）是德国知名综合性律所，深耕跨境投资、商事合规、并购重组、知识产权等领域，拥有丰富的中资企业服务经验，擅长为出海德国的中资企业提供市场准入法律支持、合规审核、跨境交易架构设计、争议解决等全流程法律服务，依托深厚的德国本地法律与监管洞察，为企业合规稳健运营保驾护航。​</t>
        </is>
      </c>
      <c r="I647" t="inlineStr">
        <is>
          <t>Dr. Bodo Dehne</t>
        </is>
      </c>
      <c r="J647"/>
      <c r="K647"/>
      <c r="L647" s="2" t="str">
        <f>=HYPERLINK("mailto:b.dehne@heuking.de", "b.dehne@heuking.de")</f>
        <v>b.dehne@heuking.de</v>
      </c>
      <c r="M647" t="inlineStr">
        <is>
          <t>+49 211 600 55-268</t>
        </is>
      </c>
      <c r="N647" s="3">
        <v>46083</v>
      </c>
      <c r="O647" t="inlineStr">
        <is>
          <t>已联系未回复</t>
        </is>
      </c>
      <c r="P647"/>
      <c r="Q647" t="inlineStr">
        <is>
          <t>上汽培训课程</t>
        </is>
      </c>
      <c r="R647"/>
      <c r="S647"/>
      <c r="T647"/>
    </row>
    <row r="648" ht="25.5" customHeight="1">
      <c r="A648" t="inlineStr">
        <is>
          <t>德国工商会出口学院/IHK Exportakademie</t>
        </is>
      </c>
      <c r="B648" t="inlineStr">
        <is>
          <t>德国</t>
        </is>
      </c>
      <c r="C648" t="inlineStr">
        <is>
          <t>斯图加特</t>
        </is>
      </c>
      <c r="D648" t="inlineStr">
        <is>
          <t>高校</t>
        </is>
      </c>
      <c r="E648" t="inlineStr">
        <is>
          <t>出海通识知识课程培训</t>
        </is>
      </c>
      <c r="F648" t="inlineStr">
        <is>
          <t>耶格大街30号，70174 斯图加特</t>
        </is>
      </c>
      <c r="G648" s="2" t="str">
        <f>=HYPERLINK("https://ihk-exportakademie.de/", "https://ihk-exportakademie.de/")</f>
        <v>https://ihk-exportakademie.de/</v>
      </c>
      <c r="H648" t="inlineStr">
        <is>
          <t>德国工商会出口学院（IHK Exportakademie）是德国权威的外贸与出海培训机构，隶属于德国工商会体系，专注于出口贸易、跨境投资相关培训与咨询，核心为出海德国的企业提供外贸规则、合规运营、市场拓展等专业培训，同时提供定制化咨询服务，帮助企业提升出海核心能力，快速适应德国市场规则。</t>
        </is>
      </c>
      <c r="I648" t="inlineStr">
        <is>
          <t>Mr. Gunnar Adams</t>
        </is>
      </c>
      <c r="J648" t="inlineStr">
        <is>
          <t>业务拓展部门</t>
        </is>
      </c>
      <c r="K648"/>
      <c r="L648" s="2" t="str">
        <f>=HYPERLINK("mailto:gunnar.adams@ihk-exportakademie.de", "gunnar.adams@ihk-exportakademie.de")</f>
        <v>gunnar.adams@ihk-exportakademie.de</v>
      </c>
      <c r="M648" t="inlineStr">
        <is>
          <t>+49 711 2005 – 1518/+49 711 2005 – 1538</t>
        </is>
      </c>
      <c r="N648" s="3">
        <v>46083</v>
      </c>
      <c r="O648" t="inlineStr">
        <is>
          <t>已联系未回复</t>
        </is>
      </c>
      <c r="P648"/>
      <c r="Q648" t="inlineStr">
        <is>
          <t>上汽培训课程</t>
        </is>
      </c>
      <c r="R648"/>
      <c r="S648"/>
      <c r="T648"/>
    </row>
    <row r="649" ht="25.5" customHeight="1">
      <c r="A649" t="inlineStr">
        <is>
          <t>开放欧洲咨询公司/Open Europe Consulting</t>
        </is>
      </c>
      <c r="B649" t="inlineStr">
        <is>
          <t>德国</t>
        </is>
      </c>
      <c r="C649" t="inlineStr">
        <is>
          <t>慕尼黑</t>
        </is>
      </c>
      <c r="D649" t="inlineStr">
        <is>
          <t>企业</t>
        </is>
      </c>
      <c r="E649" t="inlineStr">
        <is>
          <t>出海通识知识课程培训</t>
        </is>
      </c>
      <c r="F649" t="inlineStr">
        <is>
          <t>安德里亚·梅瓦尔特，霍勒大街7b号，80995 慕尼黑</t>
        </is>
      </c>
      <c r="G649" s="2" t="str">
        <f>=HYPERLINK("https://www.open-europe-consulting.eu/en", "https://www.open-europe-consulting.eu/en")</f>
        <v>https://www.open-europe-consulting.eu/en</v>
      </c>
      <c r="H649" t="inlineStr">
        <is>
          <t>开放欧洲咨询公司（Open Europe Consulting）专注于欧洲市场，尤其深耕德国领域，提供跨境投资咨询、政策解读、市场准入规划、本地化运营指导等服务，依托对德国及欧洲政策、行业趋势的深度洞察，为中资企业出海德国提供精准的策略支持，助力企业高效开拓德国市场、实现本地化布局。</t>
        </is>
      </c>
      <c r="I649"/>
      <c r="J649"/>
      <c r="K649"/>
      <c r="L649" s="2" t="str">
        <f>=HYPERLINK("mailto:mewaldt@open-europe-consulting.eu", "mewaldt@open-europe-consulting.eu")</f>
        <v>mewaldt@open-europe-consulting.eu</v>
      </c>
      <c r="M649" t="inlineStr">
        <is>
          <t>+49 89 23076780</t>
        </is>
      </c>
      <c r="N649" s="3">
        <v>46083</v>
      </c>
      <c r="O649" t="inlineStr">
        <is>
          <t>已联系未回复</t>
        </is>
      </c>
      <c r="P649"/>
      <c r="Q649" t="inlineStr">
        <is>
          <t>上汽培训课程</t>
        </is>
      </c>
      <c r="R649"/>
      <c r="S649"/>
      <c r="T649"/>
    </row>
    <row r="650" ht="25.5" customHeight="1">
      <c r="A650" t="inlineStr">
        <is>
          <t>法兰克福工商会 / Frankfurt Chamber of Commerce &amp; Industry (IHK Frankfurt)</t>
        </is>
      </c>
      <c r="B650" t="inlineStr">
        <is>
          <t>德国</t>
        </is>
      </c>
      <c r="C650" t="inlineStr">
        <is>
          <t>法兰克福</t>
        </is>
      </c>
      <c r="D650" t="inlineStr">
        <is>
          <t>商协会</t>
        </is>
      </c>
      <c r="E650" t="inlineStr">
        <is>
          <t>出海通识知识课程培训</t>
        </is>
      </c>
      <c r="F650" t="inlineStr">
        <is>
          <t>伯尔森广场4号，60313 法兰克福</t>
        </is>
      </c>
      <c r="G650" s="2" t="str">
        <f>=HYPERLINK("https://www.frankfurt-main.ihk.de/", "https://www.frankfurt-main.ihk.de/")</f>
        <v>https://www.frankfurt-main.ihk.de/</v>
      </c>
      <c r="H650" t="inlineStr">
        <is>
          <t>法兰克福工商会（IHK Frankfurt）是德国最具影响力的地方工商会之一，覆盖法兰克福及周边核心商业区域，连接本地企业、政府机构与国际投资者，核心职能包括商业促进、政策倡导、资源对接、企业服务等，可为出海德国的中资企业提供本地合作伙伴对接、市场信息咨询、展会资源链接等支持，是企业扎根法兰克福、辐射德国市场的重要依托。</t>
        </is>
      </c>
      <c r="I650"/>
      <c r="J650"/>
      <c r="K650"/>
      <c r="L650" s="2" t="str">
        <f>=HYPERLINK("mailto:info@frankfurt-main.ihk.de", "info@frankfurt-main.ihk.de")</f>
        <v>info@frankfurt-main.ihk.de</v>
      </c>
      <c r="M650" t="inlineStr">
        <is>
          <t>+49 69 2197-1280</t>
        </is>
      </c>
      <c r="N650" s="3">
        <v>46083</v>
      </c>
      <c r="O650" t="inlineStr">
        <is>
          <t>已联系未回复</t>
        </is>
      </c>
      <c r="P650"/>
      <c r="Q650" t="inlineStr">
        <is>
          <t>上汽培训课程</t>
        </is>
      </c>
      <c r="R650"/>
      <c r="S650"/>
      <c r="T650"/>
    </row>
    <row r="651" ht="25.5" customHeight="1">
      <c r="A651" t="inlineStr">
        <is>
          <t>瑞生国际律师事务所 / Latham &amp; Watkins LLP</t>
        </is>
      </c>
      <c r="B651" t="inlineStr">
        <is>
          <t>德国</t>
        </is>
      </c>
      <c r="C651" t="inlineStr">
        <is>
          <t>杜塞尔多夫</t>
        </is>
      </c>
      <c r="D651" t="inlineStr">
        <is>
          <t>律所</t>
        </is>
      </c>
      <c r="E651" t="inlineStr">
        <is>
          <t>出海通识知识课程培训</t>
        </is>
      </c>
      <c r="F651" t="inlineStr">
        <is>
          <t>德国
杜塞尔多夫，40213，本拉特大街18-20号</t>
        </is>
      </c>
      <c r="G651" s="2" t="str">
        <f>=HYPERLINK("https://www.lw.com/en", "https://www.lw.com/en")</f>
        <v>https://www.lw.com/en</v>
      </c>
      <c r="H651" t="inlineStr">
        <is>
          <t>瑞生国际律师事务所（Latham &amp; Watkins LLP）是全球顶级国际律所，在德国设有核心团队，深耕跨境投资、跨境并购、商事合规、资本市场等领域，擅长处理复杂的德国跨境法律事务，凭借全球化法律服务网络与德国本地法律资源，为中资企业出海德国提供国际化、专业化的法律保障，助力企业规避跨境法律风险、顺利落地运营。</t>
        </is>
      </c>
      <c r="I651" t="inlineStr">
        <is>
          <t>Mr. Steffen Augschill</t>
        </is>
      </c>
      <c r="J651"/>
      <c r="K651"/>
      <c r="L651" s="2" t="str">
        <f>=HYPERLINK("mailto:steffen.augschill@lw.com", "steffen.augschill@lw.com")</f>
        <v>steffen.augschill@lw.com</v>
      </c>
      <c r="M651" t="inlineStr">
        <is>
          <t>+49.211.8828.4600</t>
        </is>
      </c>
      <c r="N651" s="3">
        <v>46083</v>
      </c>
      <c r="O651" t="inlineStr">
        <is>
          <t>已联系未回复</t>
        </is>
      </c>
      <c r="P651"/>
      <c r="Q651" t="inlineStr">
        <is>
          <t>上汽培训课程</t>
        </is>
      </c>
      <c r="R651"/>
      <c r="S651"/>
      <c r="T651"/>
    </row>
    <row r="652" ht="25.5" customHeight="1">
      <c r="A652" t="inlineStr">
        <is>
          <t>瑞生国际律师事务所 / Latham &amp; Watkins LLP</t>
        </is>
      </c>
      <c r="B652" t="inlineStr">
        <is>
          <t>德国</t>
        </is>
      </c>
      <c r="C652" t="inlineStr">
        <is>
          <t>法兰克福</t>
        </is>
      </c>
      <c r="D652" t="inlineStr">
        <is>
          <t>律所</t>
        </is>
      </c>
      <c r="E652" t="inlineStr">
        <is>
          <t>出海通识知识课程培训</t>
        </is>
      </c>
      <c r="F652" t="inlineStr">
        <is>
          <t>德国法兰克福，60323，罗伊特韦格20号</t>
        </is>
      </c>
      <c r="G652" s="2" t="str">
        <f>=HYPERLINK("https://www.lw.com/en", "https://www.lw.com/en")</f>
        <v>https://www.lw.com/en</v>
      </c>
      <c r="H652" t="inlineStr">
        <is>
          <t>瑞生国际律师事务所（Latham &amp; Watkins LLP）是全球顶级国际律所，在德国设有核心团队，深耕跨境投资、跨境并购、商事合规、资本市场等领域，擅长处理复杂的德国跨境法律事务，凭借全球化法律服务网络与德国本地法律资源，为中资企业出海德国提供国际化、专业化的法律保障，助力企业规避跨境法律风险、顺利落地运营。</t>
        </is>
      </c>
      <c r="I652" t="inlineStr">
        <is>
          <t>Mr. Frank Bierwirth</t>
        </is>
      </c>
      <c r="J652"/>
      <c r="K652"/>
      <c r="L652" s="2" t="str">
        <f>=HYPERLINK("mailto:frank.bierwirth@lw.com", "frank.bierwirth@lw.com")</f>
        <v>frank.bierwirth@lw.com</v>
      </c>
      <c r="M652" t="inlineStr">
        <is>
          <t>+49.69.6062.6547</t>
        </is>
      </c>
      <c r="N652" s="3">
        <v>46083</v>
      </c>
      <c r="O652" t="inlineStr">
        <is>
          <t>已联系未回复</t>
        </is>
      </c>
      <c r="P652"/>
      <c r="Q652" t="inlineStr">
        <is>
          <t>上汽培训课程</t>
        </is>
      </c>
      <c r="R652"/>
      <c r="S652"/>
      <c r="T652"/>
    </row>
    <row r="653" ht="25.5" customHeight="1">
      <c r="A653" t="inlineStr">
        <is>
          <t>瑞生国际律师事务所 / Latham &amp; Watkins LLP</t>
        </is>
      </c>
      <c r="B653" t="inlineStr">
        <is>
          <t>德国</t>
        </is>
      </c>
      <c r="C653" t="inlineStr">
        <is>
          <t>汉堡</t>
        </is>
      </c>
      <c r="D653" t="inlineStr">
        <is>
          <t>律所</t>
        </is>
      </c>
      <c r="E653" t="inlineStr">
        <is>
          <t>出海通识知识课程培训</t>
        </is>
      </c>
      <c r="F653" t="inlineStr">
        <is>
          <t>德国汉堡，瓦尔堡大街50号
，邮编20354</t>
        </is>
      </c>
      <c r="G653" s="2" t="str">
        <f>=HYPERLINK("https://www.lw.com/en", "https://www.lw.com/en")</f>
        <v>https://www.lw.com/en</v>
      </c>
      <c r="H653" t="inlineStr">
        <is>
          <t>瑞生国际律师事务所（Latham &amp; Watkins LLP）是全球顶级国际律所，在德国设有核心团队，深耕跨境投资、跨境并购、商事合规、资本市场等领域，擅长处理复杂的德国跨境法律事务，凭借全球化法律服务网络与德国本地法律资源，为中资企业出海德国提供国际化、专业化的法律保障，助力企业规避跨境法律风险、顺利落地运营。</t>
        </is>
      </c>
      <c r="I653" t="inlineStr">
        <is>
          <t>Mr. Stefan Bartz</t>
        </is>
      </c>
      <c r="J653"/>
      <c r="K653"/>
      <c r="L653" s="2" t="str">
        <f>=HYPERLINK("mailto:stefan.bartz@lw.com", "stefan.bartz@lw.com")</f>
        <v>stefan.bartz@lw.com</v>
      </c>
      <c r="M653" t="inlineStr">
        <is>
          <t>+49.40.4140.30</t>
        </is>
      </c>
      <c r="N653" s="3">
        <v>46083</v>
      </c>
      <c r="O653" t="inlineStr">
        <is>
          <t>已联系未回复</t>
        </is>
      </c>
      <c r="P653"/>
      <c r="Q653" t="inlineStr">
        <is>
          <t>上汽培训课程</t>
        </is>
      </c>
      <c r="R653"/>
      <c r="S653"/>
      <c r="T653"/>
    </row>
    <row r="654" ht="25.5" customHeight="1">
      <c r="A654" t="inlineStr">
        <is>
          <t>瑞生国际律师事务所 / Latham &amp; Watkins LLP</t>
        </is>
      </c>
      <c r="B654" t="inlineStr">
        <is>
          <t>德国</t>
        </is>
      </c>
      <c r="C654" t="inlineStr">
        <is>
          <t>慕尼黑</t>
        </is>
      </c>
      <c r="D654" t="inlineStr">
        <is>
          <t>律所</t>
        </is>
      </c>
      <c r="E654" t="inlineStr">
        <is>
          <t>出海通识知识课程培训</t>
        </is>
      </c>
      <c r="F654" t="inlineStr">
        <is>
          <t>德国慕尼黑，马克西米利安大街13号，邮编80539</t>
        </is>
      </c>
      <c r="G654" s="2" t="str">
        <f>=HYPERLINK("https://www.lw.com/en", "https://www.lw.com/en")</f>
        <v>https://www.lw.com/en</v>
      </c>
      <c r="H654" t="inlineStr">
        <is>
          <t>瑞生国际律师事务所（Latham &amp; Watkins LLP）是全球顶级国际律所，在德国设有核心团队，深耕跨境投资、跨境并购、商事合规、资本市场等领域，擅长处理复杂的德国跨境法律事务，凭借全球化法律服务网络与德国本地法律资源，为中资企业出海德国提供国际化、专业化的法律保障，助力企业规避跨境法律风险、顺利落地运营。</t>
        </is>
      </c>
      <c r="I654" t="inlineStr">
        <is>
          <t>Mr. Rainer Adlhart</t>
        </is>
      </c>
      <c r="J654"/>
      <c r="K654"/>
      <c r="L654" s="2" t="str">
        <f>=HYPERLINK("mailto:rainer.adlhart@lw.com", "rainer.adlhart@lw.com")</f>
        <v>rainer.adlhart@lw.com</v>
      </c>
      <c r="M654" t="inlineStr">
        <is>
          <t>+49.89.2080.3.8055</t>
        </is>
      </c>
      <c r="N654" s="3">
        <v>46083</v>
      </c>
      <c r="O654" t="inlineStr">
        <is>
          <t>已联系未回复</t>
        </is>
      </c>
      <c r="P654"/>
      <c r="Q654" t="inlineStr">
        <is>
          <t>上汽培训课程</t>
        </is>
      </c>
      <c r="R654"/>
      <c r="S654"/>
      <c r="T654"/>
    </row>
    <row r="655" ht="25.5" customHeight="1">
      <c r="A655" t="inlineStr">
        <is>
          <t>德国贸易投资署 / Germany Trade &amp; Invest (GTAI)</t>
        </is>
      </c>
      <c r="B655" t="inlineStr">
        <is>
          <t>德国</t>
        </is>
      </c>
      <c r="C655" t="inlineStr">
        <is>
          <t>柏林</t>
        </is>
      </c>
      <c r="D655" t="inlineStr">
        <is>
          <t>贸促局</t>
        </is>
      </c>
      <c r="E655" t="inlineStr">
        <is>
          <t>出海通识知识课程培训</t>
        </is>
      </c>
      <c r="F655" t="inlineStr">
        <is>
          <t>柏林总部：弗里德里希大街60号，10117 柏林；波恩办公室：维勒蒙布勒大街76号，53123 波恩</t>
        </is>
      </c>
      <c r="G655" s="2" t="str">
        <f>=HYPERLINK("https://www.gtai.de/cn/invest", "https://www.gtai.de/cn/invest")</f>
        <v>https://www.gtai.de/cn/invest</v>
      </c>
      <c r="H655" t="inlineStr">
        <is>
          <t>德国贸易投资署（GTAI）是德国联邦政府核心投资促进机构，隶属于德国经济与能源部，核心职能是促进德国吸引外商直接投资、推动德国企业国际化，为出海德国的外国投资者提供一站式服务，包括政策解读、投资许可办理、项目落地对接、市场调研等，是中资企业出海德国最权威的官方对接窗口之一。</t>
        </is>
      </c>
      <c r="I655"/>
      <c r="J655"/>
      <c r="K655"/>
      <c r="L655" s="2"/>
      <c r="M655" t="inlineStr">
        <is>
          <t>+49 (0)30 200 099-0</t>
        </is>
      </c>
      <c r="N655" s="3">
        <v>46083</v>
      </c>
      <c r="O655" t="inlineStr">
        <is>
          <t>已联系未回复</t>
        </is>
      </c>
      <c r="P655"/>
      <c r="Q655" t="inlineStr">
        <is>
          <t>上汽培训课程</t>
        </is>
      </c>
      <c r="R655"/>
      <c r="S655"/>
      <c r="T655"/>
    </row>
    <row r="656" ht="25.5" customHeight="1">
      <c r="A656" t="inlineStr">
        <is>
          <t>贝克·麦坚时律师事务所 / Baker McKenzie</t>
        </is>
      </c>
      <c r="B656" t="inlineStr">
        <is>
          <t>德国</t>
        </is>
      </c>
      <c r="C656" t="inlineStr">
        <is>
          <t>柏林</t>
        </is>
      </c>
      <c r="D656" t="inlineStr">
        <is>
          <t>律所</t>
        </is>
      </c>
      <c r="E656" t="inlineStr">
        <is>
          <t>出海通识知识课程培训</t>
        </is>
      </c>
      <c r="F656" t="inlineStr">
        <is>
          <t>弗里德里希大街88号/菩提树下大街，10117 柏林，德国</t>
        </is>
      </c>
      <c r="G656" s="2" t="str">
        <f>=HYPERLINK("https://www.bakermckenzie.com/en/", "https://www.bakermckenzie.com/en/")</f>
        <v>https://www.bakermckenzie.com/en/</v>
      </c>
      <c r="H656" t="inlineStr">
        <is>
          <t>贝克·麦坚时律师事务所（Baker McKenzie）在德国布局完善的专业服务团队，作为全球顶级国际律所，深耕德国跨境投资、商事合规、并购重组、争议解决等领域，擅长结合德国本地法律监管要求与全球化视野，为中资企业出海德国提供全流程法律服务，助力企业规避法律风险、实现合规稳健发展。</t>
        </is>
      </c>
      <c r="I656" t="inlineStr">
        <is>
          <t>Dr. Ulf Wauschkuhn</t>
        </is>
      </c>
      <c r="J656"/>
      <c r="K656"/>
      <c r="L656" s="2" t="str">
        <f>=HYPERLINK("mailto:ulf.wauschkuhn@bakermckenzie.com", "ulf.wauschkuhn@bakermckenzie.com")</f>
        <v>ulf.wauschkuhn@bakermckenzie.com</v>
      </c>
      <c r="M656" t="inlineStr">
        <is>
          <t>+ 49 89 5 52 38 223</t>
        </is>
      </c>
      <c r="N656" s="3">
        <v>46083</v>
      </c>
      <c r="O656" t="inlineStr">
        <is>
          <t>已联系未回复</t>
        </is>
      </c>
      <c r="P656"/>
      <c r="Q656" t="inlineStr">
        <is>
          <t>上汽培训课程</t>
        </is>
      </c>
      <c r="R656"/>
      <c r="S656"/>
      <c r="T656"/>
    </row>
    <row r="657" ht="25.5" customHeight="1">
      <c r="A657" t="inlineStr">
        <is>
          <t>贝恩公司/Bain &amp; Company Germany</t>
        </is>
      </c>
      <c r="B657" t="inlineStr">
        <is>
          <t>德国</t>
        </is>
      </c>
      <c r="C657" t="inlineStr">
        <is>
          <t>慕尼黑</t>
        </is>
      </c>
      <c r="D657" t="inlineStr">
        <is>
          <t>咨询机构</t>
        </is>
      </c>
      <c r="E657" t="inlineStr">
        <is>
          <t>出海通识知识课程培训</t>
        </is>
      </c>
      <c r="F657" t="inlineStr">
        <is>
          <t>卡尔广场1号，80335 慕尼黑</t>
        </is>
      </c>
      <c r="G657" s="2" t="str">
        <f>=HYPERLINK("https://www.bain.com/", "https://www.bain.com/")</f>
        <v>https://www.bain.com/</v>
      </c>
      <c r="H657" t="inlineStr">
        <is>
          <t>贝恩公司（Bain &amp; Company Germany）是全球顶级管理咨询机构，在德国专注为出海企业提供战略咨询、市场进入策略、运营优化、数字化转型等服务，依托对德国各行业的深度洞察与丰富的实操经验，为中资企业出海德国制定贴合本地市场的发展策略，助力企业提升核心竞争力、实现高效扩张。</t>
        </is>
      </c>
      <c r="I657" t="inlineStr">
        <is>
          <t>Mr. Bernhard Sohnke</t>
        </is>
      </c>
      <c r="J657"/>
      <c r="K657"/>
      <c r="L657" s="2" t="str">
        <f>=HYPERLINK("mailto:germany.recruiting@bain.com", "germany.recruiting@bain.com")</f>
        <v>germany.recruiting@bain.com</v>
      </c>
      <c r="M657" t="inlineStr">
        <is>
          <t xml:space="preserve">+49 89 5123 0  </t>
        </is>
      </c>
      <c r="N657" s="3">
        <v>46083</v>
      </c>
      <c r="O657" t="inlineStr">
        <is>
          <t>已联系未回复</t>
        </is>
      </c>
      <c r="P657"/>
      <c r="Q657" t="inlineStr">
        <is>
          <t>上汽培训课程</t>
        </is>
      </c>
      <c r="R657"/>
      <c r="S657"/>
      <c r="T657"/>
    </row>
    <row r="658" ht="25.5" customHeight="1">
      <c r="A658" t="inlineStr">
        <is>
          <t>麦肯锡公司/McKinsey &amp; Company Germany</t>
        </is>
      </c>
      <c r="B658" t="inlineStr">
        <is>
          <t>德国</t>
        </is>
      </c>
      <c r="C658" t="inlineStr">
        <is>
          <t>柏林</t>
        </is>
      </c>
      <c r="D658" t="inlineStr">
        <is>
          <t>咨询机构</t>
        </is>
      </c>
      <c r="E658" t="inlineStr">
        <is>
          <t>出海通识知识课程培训</t>
        </is>
      </c>
      <c r="F658" t="inlineStr">
        <is>
          <t>布达佩斯大街 46 10787 柏林 德国</t>
        </is>
      </c>
      <c r="G658" s="2" t="str">
        <f>=HYPERLINK("https://www.mckinsey.de/", "https://www.mckinsey.de/")</f>
        <v>https://www.mckinsey.de/</v>
      </c>
      <c r="H658" t="inlineStr">
        <is>
          <t>麦肯锡公司（McKinsey &amp; Company Germany）是全球领先的管理咨询机构，在德国聚焦中资企业出海相关服务，核心提供市场调研、战略规划、投资布局、运营升级等咨询服务，凭借深厚的行业积累与全球化资源，为出海德国的中资企业提供精准的策略支持，助力企业破解本地化运营难题、实现长期发展。</t>
        </is>
      </c>
      <c r="I658"/>
      <c r="J658"/>
      <c r="K658"/>
      <c r="L658" s="2" t="str">
        <f>=HYPERLINK("mailto:karriere@mckinsey.com", "karriere@mckinsey.com")</f>
        <v>karriere@mckinsey.com</v>
      </c>
      <c r="M658" t="inlineStr">
        <is>
          <t>+49 221 2087510</t>
        </is>
      </c>
      <c r="N658" s="3">
        <v>46083</v>
      </c>
      <c r="O658" t="inlineStr">
        <is>
          <t>已联系未回复</t>
        </is>
      </c>
      <c r="P658"/>
      <c r="Q658" t="inlineStr">
        <is>
          <t>上汽培训课程</t>
        </is>
      </c>
      <c r="R658"/>
      <c r="S658"/>
      <c r="T658"/>
    </row>
    <row r="659" ht="25.5" customHeight="1">
      <c r="A659" t="inlineStr">
        <is>
          <t>罗申美国际（德国）/RSM International Germany</t>
        </is>
      </c>
      <c r="B659" t="inlineStr">
        <is>
          <t>德国</t>
        </is>
      </c>
      <c r="C659" t="inlineStr">
        <is>
          <t>柏林</t>
        </is>
      </c>
      <c r="D659" t="inlineStr">
        <is>
          <t>咨询机构</t>
        </is>
      </c>
      <c r="E659" t="inlineStr">
        <is>
          <t>出海通识知识课程培训</t>
        </is>
      </c>
      <c r="F659" t="inlineStr">
        <is>
          <t>萨尔布吕肯大街21号，10405 柏林——德国多个办事处地址</t>
        </is>
      </c>
      <c r="G659" s="2" t="str">
        <f>=HYPERLINK("https://www.ebnerstolz.de/en/", "https://www.ebnerstolz.de/en/")</f>
        <v>https://www.ebnerstolz.de/en/</v>
      </c>
      <c r="H659" t="inlineStr">
        <is>
          <t>罗申美国际（德国）是全球领先的会计与咨询网络成员所，专注为中资及跨国企业提供本地化专业服务，核心涵盖审计、税务合规、财务咨询、运营落地指导等，依托德国本地专业团队与丰富的行业经验，为出海德国的成长型企业提供高性价比的财税与运营支持，覆盖市场准入至稳定运营全环节。</t>
        </is>
      </c>
      <c r="I659" t="inlineStr">
        <is>
          <t xml:space="preserve">Mr. Benjamin </t>
        </is>
      </c>
      <c r="J659" t="inlineStr">
        <is>
          <t>外交工作者</t>
        </is>
      </c>
      <c r="K659"/>
      <c r="L659" s="2" t="str">
        <f>=HYPERLINK("mailto:benjamin.koller@ebnerstolz.de", "benjamin.koller@ebnerstolz.de")</f>
        <v>benjamin.koller@ebnerstolz.de</v>
      </c>
      <c r="M659" t="inlineStr">
        <is>
          <t>+49 30 283992-269</t>
        </is>
      </c>
      <c r="N659" s="3">
        <v>46083</v>
      </c>
      <c r="O659" t="inlineStr">
        <is>
          <t>已联系未回复</t>
        </is>
      </c>
      <c r="P659"/>
      <c r="Q659" t="inlineStr">
        <is>
          <t>上汽培训课程</t>
        </is>
      </c>
      <c r="R659"/>
      <c r="S659"/>
      <c r="T659"/>
    </row>
    <row r="660" ht="25.5" customHeight="1">
      <c r="A660" t="inlineStr">
        <is>
          <t>盈科律师事务所-德国/Yingke Law Firm Germany</t>
        </is>
      </c>
      <c r="B660" t="inlineStr">
        <is>
          <t>德国</t>
        </is>
      </c>
      <c r="C660" t="inlineStr">
        <is>
          <t>慕尼黑</t>
        </is>
      </c>
      <c r="D660" t="inlineStr">
        <is>
          <t>咨询机构</t>
        </is>
      </c>
      <c r="E660" t="inlineStr">
        <is>
          <t>出海通识知识课程培训</t>
        </is>
      </c>
      <c r="F660" t="inlineStr">
        <is>
          <t>德国拜仁州慕尼黑市宁芬堡大街 14 号Nymphenburger Straße 14, 80335 München</t>
        </is>
      </c>
      <c r="G660" s="2" t="str">
        <f>=HYPERLINK("https://www.yingkelawyer.com/ykdt/view/c2905e7d0b13ab722e2e7e44d5dd3f546e8c4b560bb10003292a9a93340f4713ea5289bff75a08c2bc8254442416ff597e2c58a7bf2eb0cbf811e96b32dec423739811a9625cce04641235f2d392e8b5d8a6676d305390ea.html", "https://www.yingkelawyer.com/ykdt/view/c2905e7d0b13ab722e2e7e44d5dd3f546e8c4b560bb10003292a9a93340f4713ea5289bff75a08c2bc8254442416ff597e2c58a7bf2eb0cbf811e96b32dec423739811a9625cce04641235f2d392e8b5d8a6676d305390ea.html")</f>
        <v>https://www.yingkelawyer.com/ykdt/view/c2905e7d0b13ab722e2e7e44d5dd3f546e8c4b560bb10003292a9a93340f4713ea5289bff75a08c2bc8254442416ff597e2c58a7bf2eb0cbf811e96b32dec423739811a9625cce04641235f2d392e8b5d8a6676d305390ea.html</v>
      </c>
      <c r="H660" t="inlineStr">
        <is>
          <t>盈科律师事务所德国分所是中国盈科律师事务所的海外拓展机构，专注于跨境投资、企业并购、国际贸易及合规事务，为中德企业提供专业法律服务。</t>
        </is>
      </c>
      <c r="I660" t="inlineStr">
        <is>
          <t>Zhen Wei</t>
        </is>
      </c>
      <c r="J660" t="inlineStr">
        <is>
          <t>慕尼黑办事处主任</t>
        </is>
      </c>
      <c r="K660"/>
      <c r="L660" s="2" t="str">
        <f>=HYPERLINK("mailto:z.wei@yk-law.de", "z.wei@yk-law.de")</f>
        <v>z.wei@yk-law.de</v>
      </c>
      <c r="M660" t="inlineStr">
        <is>
          <t>+49 89 2423 1800</t>
        </is>
      </c>
      <c r="N660" s="3">
        <v>46083</v>
      </c>
      <c r="O660" t="inlineStr">
        <is>
          <t>已联系已回复</t>
        </is>
      </c>
      <c r="P660" t="inlineStr">
        <is>
          <t>沟通中，商讨建立微信联系</t>
        </is>
      </c>
      <c r="Q660" t="inlineStr">
        <is>
          <t>上汽培训课程</t>
        </is>
      </c>
      <c r="R660"/>
      <c r="S660"/>
      <c r="T660"/>
    </row>
    <row r="661" ht="25.5" customHeight="1">
      <c r="A661" t="inlineStr">
        <is>
          <t>中德商桥（MPR GmbH）/MPR GmbH (Zhongde Shangqiao)</t>
        </is>
      </c>
      <c r="B661" t="inlineStr">
        <is>
          <t>德国</t>
        </is>
      </c>
      <c r="C661" t="inlineStr">
        <is>
          <t>法兰克福</t>
        </is>
      </c>
      <c r="D661" t="inlineStr">
        <is>
          <t>咨询机构</t>
        </is>
      </c>
      <c r="E661" t="inlineStr">
        <is>
          <t>出海通识知识课程培训</t>
        </is>
      </c>
      <c r="F661" t="inlineStr">
        <is>
          <t>法兰克福：Kaiserstr. 65, 60329 Frankfurt am Main, Germany</t>
        </is>
      </c>
      <c r="G661" s="2" t="str">
        <f>=HYPERLINK("https://www.zhongdeshangqiao.com.cn/", "https://www.zhongdeshangqiao.com.cn/")</f>
        <v>https://www.zhongdeshangqiao.com.cn/</v>
      </c>
      <c r="H661" t="inlineStr">
        <is>
          <t>中德商桥（MPR GmbH）是一家致力于促进中德经贸合作的咨询公司，提供市场调研、投资咨询及企业合作对接服务，帮助两国企业建立稳固的商业联系。</t>
        </is>
      </c>
      <c r="I661"/>
      <c r="J661"/>
      <c r="K661"/>
      <c r="L661" s="2" t="str">
        <f>=HYPERLINK("mailto:info@zhongdeshangqiao.com", "info@zhongdeshangqiao.com")</f>
        <v>info@zhongdeshangqiao.com</v>
      </c>
      <c r="M661" t="inlineStr">
        <is>
          <t>400-8601-055</t>
        </is>
      </c>
      <c r="N661" s="3">
        <v>46083</v>
      </c>
      <c r="O661" t="inlineStr">
        <is>
          <t>已联系未回复</t>
        </is>
      </c>
      <c r="P661"/>
      <c r="Q661" t="inlineStr">
        <is>
          <t>上汽培训课程</t>
        </is>
      </c>
      <c r="R661"/>
      <c r="S661"/>
      <c r="T661"/>
    </row>
    <row r="662" ht="25.5" customHeight="1">
      <c r="A662" t="inlineStr">
        <is>
          <t>国樽律师事务所（德国分所）/Guozun Law Firm (Germany Branch)</t>
        </is>
      </c>
      <c r="B662" t="inlineStr">
        <is>
          <t>德国</t>
        </is>
      </c>
      <c r="C662"/>
      <c r="D662" t="inlineStr">
        <is>
          <t>律所</t>
        </is>
      </c>
      <c r="E662" t="inlineStr">
        <is>
          <t>法律</t>
        </is>
      </c>
      <c r="F662" t="inlineStr">
        <is>
          <t>国樽律师事务所（德国分所）/Guozun Law Firm (Germany Branch)：依托国樽总所的专业底蕴，深耕德国本土法律服务市场，聚焦中德跨境投资、经贸合作、商事纠纷解决等领域，为中资企业出海德国、德企对华投资提供全方位的法律支持与对接服务，搭建中德法律沟通的桥梁。</t>
        </is>
      </c>
      <c r="G662" s="2" t="str">
        <f>=HYPERLINK("https://www.guozunlaw.com/office-69.html", "https://www.guozunlaw.com/office-69.html")</f>
        <v>https://www.guozunlaw.com/office-69.html</v>
      </c>
      <c r="H662" t="inlineStr">
        <is>
          <t>国樽律师事务所（德国分所）/Guozun Law Firm (Germany Branch)：依托国樽总所的专业底蕴，深耕德国本土法律服务市场，聚焦中德跨境投资、经贸合作、商事纠纷解决等领域，为中资企业出海德国、德企对华投资提供全方位的法律支持与对接服务，搭建中德法律沟通的桥梁。</t>
        </is>
      </c>
      <c r="I662"/>
      <c r="J662"/>
      <c r="K662"/>
      <c r="L662" s="2" t="str">
        <f>=HYPERLINK("mailto:guozun@guozunlaw.com", "guozun@guozunlaw.com")</f>
        <v>guozun@guozunlaw.com</v>
      </c>
      <c r="M662" t="inlineStr">
        <is>
          <t>400-999-1590</t>
        </is>
      </c>
      <c r="N662" s="3">
        <v>46100</v>
      </c>
      <c r="O662" t="inlineStr">
        <is>
          <t>已联系未回复</t>
        </is>
      </c>
      <c r="P662"/>
      <c r="Q662" t="inlineStr">
        <is>
          <t>南通经济开发区-德国</t>
        </is>
      </c>
      <c r="R662"/>
      <c r="S662"/>
      <c r="T662"/>
    </row>
    <row r="663" ht="25.5" customHeight="1">
      <c r="A663" t="inlineStr">
        <is>
          <t>陆德律师事务所/Luther Rechtsanwaltsgesellschaft mbH</t>
        </is>
      </c>
      <c r="B663" t="inlineStr">
        <is>
          <t>德国</t>
        </is>
      </c>
      <c r="C663" t="inlineStr">
        <is>
          <t>柏林</t>
        </is>
      </c>
      <c r="D663" t="inlineStr">
        <is>
          <t>律所</t>
        </is>
      </c>
      <c r="E663" t="inlineStr">
        <is>
          <t>法律</t>
        </is>
      </c>
      <c r="F663" t="inlineStr">
        <is>
          <t>德国
杜塞尔多夫，40213，本拉特大街18-20号</t>
        </is>
      </c>
      <c r="G663" s="2" t="str">
        <f>=HYPERLINK("https://www.luther-lawfirm.com/kontakt/national#acc-14", "https://www.luther-lawfirm.com/kontakt/national#acc-14")</f>
        <v>https://www.luther-lawfirm.com/kontakt/national#acc-14</v>
      </c>
      <c r="H663" t="inlineStr">
        <is>
          <t>陆德律师事务所/Luther Rechtsanwaltsgesellschaft mbH：德国顶尖综合性律所之一，拥有约420名律师及税务顾问，业务覆盖德国及全球多个国家和地区，在企业法、税法、医疗健康与生命科学等领域具备深厚专长，同时积极推动中德跨境经贸与投资合作，为双方企业提供专业、精准的法律服务。</t>
        </is>
      </c>
      <c r="I663" t="inlineStr">
        <is>
          <t>Ms. Doreen König</t>
        </is>
      </c>
      <c r="J663" t="inlineStr">
        <is>
          <t>柏林区域负责人</t>
        </is>
      </c>
      <c r="K663"/>
      <c r="L663" s="2" t="str">
        <f>=HYPERLINK("mailto:doreen.koenig@luther-lawfirm.com", "doreen.koenig@luther-lawfirm.com")</f>
        <v>doreen.koenig@luther-lawfirm.com</v>
      </c>
      <c r="M663" t="inlineStr">
        <is>
          <t>+49 30 52133 24915</t>
        </is>
      </c>
      <c r="N663" s="3">
        <v>46100</v>
      </c>
      <c r="O663" t="inlineStr">
        <is>
          <t>已联系未回复</t>
        </is>
      </c>
      <c r="P663"/>
      <c r="Q663" t="inlineStr">
        <is>
          <t>南通经济开发区-德国</t>
        </is>
      </c>
      <c r="R663"/>
      <c r="S663"/>
      <c r="T663"/>
    </row>
    <row r="664" ht="25.5" customHeight="1">
      <c r="A664" t="inlineStr">
        <is>
          <t>米哈尔斯基 - 胡特曼合伙律师事务所/Michalski・Hüttermann &amp; Partner Patentanwälte MBB</t>
        </is>
      </c>
      <c r="B664" t="inlineStr">
        <is>
          <t>德国</t>
        </is>
      </c>
      <c r="C664" t="inlineStr">
        <is>
          <t>慕尼黑</t>
        </is>
      </c>
      <c r="D664" t="inlineStr">
        <is>
          <t>律所</t>
        </is>
      </c>
      <c r="E664" t="inlineStr">
        <is>
          <t>法律</t>
        </is>
      </c>
      <c r="F664" t="inlineStr">
        <is>
          <t>圣马丁大街64号D座 - 81541 慕尼黑</t>
        </is>
      </c>
      <c r="G664" s="2" t="str">
        <f>=HYPERLINK("https://www.mhp-ip.com/", "https://www.mhp-ip.com/")</f>
        <v>https://www.mhp-ip.com/</v>
      </c>
      <c r="H664" t="inlineStr">
        <is>
          <t>米哈尔斯基 - 胡特曼合伙律师事务所/Michalski・Hüttermann &amp; Partner Patentanwälte MBB：一家专注于知识产权法的全球性律所，核心业务涵盖专利保护、知识产权布局与维权等，是国际专业协会核心成员，常参与全球学术与行业交流，可为中德企业在技术研发、专利合作等领域提供专业知识产权支持。</t>
        </is>
      </c>
      <c r="I664"/>
      <c r="J664"/>
      <c r="K664"/>
      <c r="L664" s="2" t="str">
        <f>=HYPERLINK("mailto:mail@mh-patent.de", "mail@mh-patent.de")</f>
        <v>mail@mh-patent.de</v>
      </c>
      <c r="M664" t="inlineStr">
        <is>
          <t>+49-89-48 90 10 - 0</t>
        </is>
      </c>
      <c r="N664" s="3">
        <v>46100</v>
      </c>
      <c r="O664" t="inlineStr">
        <is>
          <t>已联系未回复</t>
        </is>
      </c>
      <c r="P664"/>
      <c r="Q664" t="inlineStr">
        <is>
          <t>南通经济开发区-德国</t>
        </is>
      </c>
      <c r="R664"/>
      <c r="S664"/>
      <c r="T664"/>
    </row>
    <row r="665" ht="25.5" customHeight="1">
      <c r="A665" t="inlineStr">
        <is>
          <t>霍德律师事务所/HÜTTE Rechtsanwälte Partnerschaft mbB</t>
        </is>
      </c>
      <c r="B665" t="inlineStr">
        <is>
          <t>德国</t>
        </is>
      </c>
      <c r="C665" t="inlineStr">
        <is>
          <t>法兰克福</t>
        </is>
      </c>
      <c r="D665" t="inlineStr">
        <is>
          <t>律所</t>
        </is>
      </c>
      <c r="E665" t="inlineStr">
        <is>
          <t>法律</t>
        </is>
      </c>
      <c r="F665" t="inlineStr">
        <is>
          <t>法兰克福办事处
Bethmannstraße 8
60311 法兰克福/美因河畔</t>
        </is>
      </c>
      <c r="G665" s="2" t="str">
        <f>=HYPERLINK("https://huette-legal.com/", "https://huette-legal.com/")</f>
        <v>https://huette-legal.com/</v>
      </c>
      <c r="H665" t="inlineStr">
        <is>
          <t>霍德律师事务所/HÜTTE Rechtsanwälte Partnerschaft mbB：德国本土资深律所，专注于商事法律、企业合规、跨境交易等核心领域，凭借扎实的本土法律经验和专业的服务团队，为中德企业间的经贸往来、投资合作提供定制化法律解决方案，助力双方合作合规落地。</t>
        </is>
      </c>
      <c r="I665"/>
      <c r="J665"/>
      <c r="K665"/>
      <c r="L665" s="2" t="str">
        <f>=HYPERLINK("mailto:contact@huette-legal.com", "contact@huette-legal.com")</f>
        <v>contact@huette-legal.com</v>
      </c>
      <c r="M665" t="inlineStr">
        <is>
          <t>+49 69 247 561 - 20</t>
        </is>
      </c>
      <c r="N665" s="3">
        <v>46100</v>
      </c>
      <c r="O665" t="inlineStr">
        <is>
          <t>已联系已回复</t>
        </is>
      </c>
      <c r="P665" t="inlineStr">
        <is>
          <t>一通过电话沟通细节，对方汇报高层，等待表态</t>
        </is>
      </c>
      <c r="Q665" t="inlineStr">
        <is>
          <t>南通经济开发区-德国</t>
        </is>
      </c>
      <c r="R665"/>
      <c r="S665"/>
      <c r="T665"/>
    </row>
    <row r="666" ht="25.5" customHeight="1">
      <c r="A666" t="inlineStr">
        <is>
          <t>博曼德团队/bdp team</t>
        </is>
      </c>
      <c r="B666" t="inlineStr">
        <is>
          <t>德国</t>
        </is>
      </c>
      <c r="C666" t="inlineStr">
        <is>
          <t>柏林</t>
        </is>
      </c>
      <c r="D666" t="inlineStr">
        <is>
          <t>律所</t>
        </is>
      </c>
      <c r="E666" t="inlineStr">
        <is>
          <t>法律</t>
        </is>
      </c>
      <c r="F666" t="inlineStr">
        <is>
          <t>丹齐格大街64号，10435 柏林</t>
        </is>
      </c>
      <c r="G666" s="2" t="str">
        <f>=HYPERLINK("https://www.bdp-team.com/", "https://www.bdp-team.com/")</f>
        <v>https://www.bdp-team.com/</v>
      </c>
      <c r="H666" t="inlineStr">
        <is>
          <t>博曼德团队/bdp team：自1992年起专注为大中型企业提供综合专业服务，汇聚税务顾问、律师、审计师等多领域人才，核心业务包括税务咨询、审计、法律咨询及跨境投资服务，尤其擅长为中资在德企业提供税务筹划、风险防控等一站式支持，同时助力德企对华投资布局[9]。</t>
        </is>
      </c>
      <c r="I666" t="inlineStr">
        <is>
          <t>方芳</t>
        </is>
      </c>
      <c r="J666" t="inlineStr">
        <is>
          <t>中国事务部</t>
        </is>
      </c>
      <c r="K666"/>
      <c r="L666" s="2" t="str">
        <f>=HYPERLINK("mailto:china.desk@bdp-team.de", "china.desk@bdp-team.de")</f>
        <v>china.desk@bdp-team.de</v>
      </c>
      <c r="M666" t="inlineStr">
        <is>
          <t>+49 (0)40 – 30 99 36 - 0</t>
        </is>
      </c>
      <c r="N666" s="3">
        <v>46100</v>
      </c>
      <c r="O666" t="inlineStr">
        <is>
          <t>已联系未回复</t>
        </is>
      </c>
      <c r="P666"/>
      <c r="Q666" t="inlineStr">
        <is>
          <t>南通经济开发区-德国</t>
        </is>
      </c>
      <c r="R666"/>
      <c r="S666"/>
      <c r="T666"/>
    </row>
    <row r="667" ht="25.5" customHeight="1">
      <c r="A667" t="inlineStr">
        <is>
          <t>班斯巴赫会计师事务所/Bansbach GmbH</t>
        </is>
      </c>
      <c r="B667" t="inlineStr">
        <is>
          <t>德国</t>
        </is>
      </c>
      <c r="C667" t="inlineStr">
        <is>
          <t>斯图加特</t>
        </is>
      </c>
      <c r="D667" t="inlineStr">
        <is>
          <t>律所</t>
        </is>
      </c>
      <c r="E667" t="inlineStr">
        <is>
          <t>法律</t>
        </is>
      </c>
      <c r="F667" t="inlineStr">
        <is>
          <t>洛菲尔大街40
70597
斯图加特信箱 10 04 43
70003 斯图加特
德国</t>
        </is>
      </c>
      <c r="G667" s="2" t="str">
        <f>=HYPERLINK("https://www.bansbach-gruppe.de/", "https://www.bansbach-gruppe.de/")</f>
        <v>https://www.bansbach-gruppe.de/</v>
      </c>
      <c r="H667" t="inlineStr">
        <is>
          <t>班斯巴赫会计师事务所/Bansbach GmbH：德国领先的中型审计与税务咨询机构，拥有百年服务经验，在德国9个城市设有分支机构，员工超450人，业务涵盖税务咨询、审计、企业融资、ESG报告等，服务客户涵盖中小企业、跨国集团等，可为中德跨境企业提供专业的财税合规与咨询服务。</t>
        </is>
      </c>
      <c r="I667"/>
      <c r="J667"/>
      <c r="K667"/>
      <c r="L667" s="2" t="str">
        <f>=HYPERLINK("mailto:stuttgart@bansbach-gruppe.de", "stuttgart@bansbach-gruppe.de")</f>
        <v>stuttgart@bansbach-gruppe.de</v>
      </c>
      <c r="M667" t="inlineStr">
        <is>
          <t>+49 711 1646-6</t>
        </is>
      </c>
      <c r="N667" s="3">
        <v>46100</v>
      </c>
      <c r="O667" t="inlineStr">
        <is>
          <t>已联系未回复</t>
        </is>
      </c>
      <c r="P667"/>
      <c r="Q667" t="inlineStr">
        <is>
          <t>南通经济开发区-德国</t>
        </is>
      </c>
      <c r="R667"/>
      <c r="S667"/>
      <c r="T667"/>
    </row>
    <row r="668" ht="25.5" customHeight="1">
      <c r="A668" t="inlineStr">
        <is>
          <t>罗德会计师事务所/Roeder &amp; Partner GmbH</t>
        </is>
      </c>
      <c r="B668" t="inlineStr">
        <is>
          <t>德国</t>
        </is>
      </c>
      <c r="C668" t="inlineStr">
        <is>
          <t>柏林</t>
        </is>
      </c>
      <c r="D668" t="inlineStr">
        <is>
          <t>律所</t>
        </is>
      </c>
      <c r="E668" t="inlineStr">
        <is>
          <t>法律</t>
        </is>
      </c>
      <c r="F668"/>
      <c r="G668" s="2" t="str">
        <f>=HYPERLINK("https://www.roedl.com/locations/china/", "https://www.roedl.com/locations/china/")</f>
        <v>https://www.roedl.com/locations/china/</v>
      </c>
      <c r="H668" t="inlineStr">
        <is>
          <t>罗德会计师事务所/Roeder &amp; Partner GmbH：德国知名专业服务机构，跻身全球领先专业服务行列，在全球50多个国家设有110家自有办公室，核心业务包括会计审计、税务咨询、法律支持等，自1994年起布局亚太地区，可为中德企业双向投资提供跨境财税与法律一站式服务。</t>
        </is>
      </c>
      <c r="I668"/>
      <c r="J668"/>
      <c r="K668"/>
      <c r="L668" s="2" t="str">
        <f>=HYPERLINK("mailto:info@roedl.de", "info@roedl.de")</f>
        <v>info@roedl.de</v>
      </c>
      <c r="M668" t="inlineStr">
        <is>
          <t>+49 911 9193-0</t>
        </is>
      </c>
      <c r="N668" s="3">
        <v>46100</v>
      </c>
      <c r="O668" t="inlineStr">
        <is>
          <t>已联系未回复</t>
        </is>
      </c>
      <c r="P668"/>
      <c r="Q668" t="inlineStr">
        <is>
          <t>南通经济开发区-德国</t>
        </is>
      </c>
      <c r="R668"/>
      <c r="S668"/>
      <c r="T668"/>
    </row>
    <row r="669" ht="25.5" customHeight="1">
      <c r="A669" t="inlineStr">
        <is>
          <t>KGS 律师事务所/KGS 律师事务所</t>
        </is>
      </c>
      <c r="B669" t="inlineStr">
        <is>
          <t>德国</t>
        </is>
      </c>
      <c r="C669" t="inlineStr">
        <is>
          <t>汉堡</t>
        </is>
      </c>
      <c r="D669" t="inlineStr">
        <is>
          <t>律所</t>
        </is>
      </c>
      <c r="E669" t="inlineStr">
        <is>
          <t>法律</t>
        </is>
      </c>
      <c r="F669" t="inlineStr">
        <is>
          <t>森格曼街120
22335 汉堡</t>
        </is>
      </c>
      <c r="G669" s="2" t="str">
        <f>=HYPERLINK("https://rechtsanwaelte-kgs-hamburg.de/?cpnb_method=cpnbCookiesAccepted", "https://rechtsanwaelte-kgs-hamburg.de/?cpnb_method=cpnbCookiesAccepted")</f>
        <v>https://rechtsanwaelte-kgs-hamburg.de/?cpnb_method=cpnbCookiesAccepted</v>
      </c>
      <c r="H669" t="inlineStr">
        <is>
          <t>KGS 律师事务所/KGS 律师事务所：位于德国汉堡的本土律所，业务覆盖整个欧盟及欧洲经济区，专注于商事法律相关服务，具备灵活高效的服务优势，办公时间灵活，可为中德企业间的经贸合作、跨境纠纷等提供专业法律支持，助力双方合作顺利推进。</t>
        </is>
      </c>
      <c r="I669"/>
      <c r="J669"/>
      <c r="K669"/>
      <c r="L669" s="2" t="str">
        <f>=HYPERLINK("mailto:info@kgs-hamburg.org", "info@kgs-hamburg.org")</f>
        <v>info@kgs-hamburg.org</v>
      </c>
      <c r="M669" t="inlineStr">
        <is>
          <t>040 6553131</t>
        </is>
      </c>
      <c r="N669" s="3">
        <v>46100</v>
      </c>
      <c r="O669" t="inlineStr">
        <is>
          <t>已联系未回复</t>
        </is>
      </c>
      <c r="P669"/>
      <c r="Q669" t="inlineStr">
        <is>
          <t>南通经济开发区-德国</t>
        </is>
      </c>
      <c r="R669"/>
      <c r="S669"/>
      <c r="T669"/>
    </row>
    <row r="670" ht="25.5" customHeight="1">
      <c r="A670" t="inlineStr">
        <is>
          <t>德中商务中心暨企业服务有限公司/DCBC Deutsch Chinesisches Business Center &amp; Unternehmensservice GmbH</t>
        </is>
      </c>
      <c r="B670" t="inlineStr">
        <is>
          <t>德国</t>
        </is>
      </c>
      <c r="C670" t="inlineStr">
        <is>
          <t>杜塞尔多夫</t>
        </is>
      </c>
      <c r="D670" t="inlineStr">
        <is>
          <t>律所</t>
        </is>
      </c>
      <c r="E670" t="inlineStr">
        <is>
          <t>法律</t>
        </is>
      </c>
      <c r="F670" t="inlineStr">
        <is>
          <t>德国杜塞尔多夫十字大街60号
邮编：40210</t>
        </is>
      </c>
      <c r="G670" s="2" t="str">
        <f>=HYPERLINK("https://www.dcbc-germany.com/", "https://www.dcbc-germany.com/")</f>
        <v>https://www.dcbc-germany.com/</v>
      </c>
      <c r="H670" t="inlineStr">
        <is>
          <t>德中商务中心暨企业服务有限公司/DCBC Deutsch Chinesisches Business Center &amp; Unternehmensservice GmbH：专注于促进德中企业商务交流与投资合作的专业机构，核心服务包括中资企业德国落户、公司托管、会计财务、商务渠道拓展及商标专利服务，同时联动德国本土律所、会计师事务所，为中德企业双向投资提供一站式全方位咨询与配套服务。</t>
        </is>
      </c>
      <c r="I670"/>
      <c r="J670"/>
      <c r="K670"/>
      <c r="L670" s="2" t="str">
        <f>=HYPERLINK("mailto:info@dcbc.eu", "info@dcbc.eu")</f>
        <v>info@dcbc.eu</v>
      </c>
      <c r="M670" t="inlineStr">
        <is>
          <t>+49 (0)211-976 33888</t>
        </is>
      </c>
      <c r="N670" s="3">
        <v>46100</v>
      </c>
      <c r="O670" t="inlineStr">
        <is>
          <t>已联系未回复</t>
        </is>
      </c>
      <c r="P670"/>
      <c r="Q670" t="inlineStr">
        <is>
          <t>南通经济开发区-德国</t>
        </is>
      </c>
      <c r="R670"/>
      <c r="S670"/>
      <c r="T670"/>
    </row>
    <row r="671" ht="25.5" customHeight="1">
      <c r="A671" t="inlineStr">
        <is>
          <t>格尔格律师事务所/GÖRG Rechtsanwälte</t>
        </is>
      </c>
      <c r="B671" t="inlineStr">
        <is>
          <t>德国</t>
        </is>
      </c>
      <c r="C671" t="inlineStr">
        <is>
          <t>慕尼黑</t>
        </is>
      </c>
      <c r="D671" t="inlineStr">
        <is>
          <t>律所</t>
        </is>
      </c>
      <c r="E671" t="inlineStr">
        <is>
          <t>法律</t>
        </is>
      </c>
      <c r="F671" t="inlineStr">
        <is>
          <t>德国境内多个办事处
德国慕尼黑，Prinzregentenstraße 22，邮编：80538</t>
        </is>
      </c>
      <c r="G671" s="2" t="str">
        <f>=HYPERLINK("https://www.goerg.de/de/international/china-desk", "https://www.goerg.de/de/international/china-desk")</f>
        <v>https://www.goerg.de/de/international/china-desk</v>
      </c>
      <c r="H671" t="inlineStr">
        <is>
          <t>格尔格律师事务所/GÖRG Rechtsanwälte：德国知名律所，拥有290余名律师，在德国5个经济中心设有办公室，其中国业务部（China Desk）由德中双语专业律师组成，深耕中德跨境投资、企业并购、国际合同等领域，凭借深厚的双边法律经验和广泛的资源网络，为中德企业提供高质量法律服务。</t>
        </is>
      </c>
      <c r="I671" t="inlineStr">
        <is>
          <t>Mr. Florian Wolff</t>
        </is>
      </c>
      <c r="J671"/>
      <c r="K671"/>
      <c r="L671" s="2" t="str">
        <f>=HYPERLINK("mailto:fwolff@goerg.de", "fwolff@goerg.de")</f>
        <v>fwolff@goerg.de</v>
      </c>
      <c r="M671" t="inlineStr">
        <is>
          <t>+49 893090667 0</t>
        </is>
      </c>
      <c r="N671" s="3">
        <v>46100</v>
      </c>
      <c r="O671" t="inlineStr">
        <is>
          <t>已联系未回复</t>
        </is>
      </c>
      <c r="P671"/>
      <c r="Q671" t="inlineStr">
        <is>
          <t>南通经济开发区-德国</t>
        </is>
      </c>
      <c r="R671"/>
      <c r="S671"/>
      <c r="T671"/>
    </row>
    <row r="672" ht="25.5" customHeight="1">
      <c r="A672" t="inlineStr">
        <is>
          <t>PKF 法葛会计师事务所/PKF Fasselt GmbH</t>
        </is>
      </c>
      <c r="B672" t="inlineStr">
        <is>
          <t>德国</t>
        </is>
      </c>
      <c r="C672" t="inlineStr">
        <is>
          <t>杜塞尔多夫</t>
        </is>
      </c>
      <c r="D672" t="inlineStr">
        <is>
          <t>律所</t>
        </is>
      </c>
      <c r="E672" t="inlineStr">
        <is>
          <t>法律</t>
        </is>
      </c>
      <c r="F672" t="inlineStr">
        <is>
          <t>天空办公室，肯尼迪大坝 24，40476 ，杜塞尔多夫</t>
        </is>
      </c>
      <c r="G672" s="2" t="str">
        <f>=HYPERLINK("https://www.pkf-fasselt.de/", "https://www.pkf-fasselt.de/")</f>
        <v>https://www.pkf-fasselt.de/</v>
      </c>
      <c r="H672" t="inlineStr">
        <is>
          <t>PKF 法葛会计师事务所/PKF Fasselt GmbH：PKF国际成员所，德国顶尖审计与企业咨询机构之一，在德国17座城市拥有逾640名员工，其中含160余名注册专业人员，设有专门的中国事务部，核心业务涵盖审计、税务、法律、跨境交易等，擅长为中资企业在德投资提供全方位财税与咨询支持，助力企业对接德国市场资源。</t>
        </is>
      </c>
      <c r="I672" t="inlineStr">
        <is>
          <t>Mr. Holger Drumm</t>
        </is>
      </c>
      <c r="J672"/>
      <c r="K672"/>
      <c r="L672" s="2" t="str">
        <f>=HYPERLINK("mailto:holger.drumm@pkf-fasselt.de", "holger.drumm@pkf-fasselt.de")</f>
        <v>holger.drumm@pkf-fasselt.de</v>
      </c>
      <c r="M672" t="inlineStr">
        <is>
          <t>+4920330001240</t>
        </is>
      </c>
      <c r="N672" s="3">
        <v>46100</v>
      </c>
      <c r="O672" t="inlineStr">
        <is>
          <t>已联系未回复</t>
        </is>
      </c>
      <c r="P672"/>
      <c r="Q672" t="inlineStr">
        <is>
          <t>南通经济开发区-德国</t>
        </is>
      </c>
      <c r="R672"/>
      <c r="S672"/>
      <c r="T672"/>
    </row>
    <row r="673" ht="25.5" customHeight="1">
      <c r="A673" t="inlineStr">
        <is>
          <t>汉堡/Hamburg</t>
        </is>
      </c>
      <c r="B673" t="inlineStr">
        <is>
          <t>德国</t>
        </is>
      </c>
      <c r="C673" t="inlineStr">
        <is>
          <t>汉堡</t>
        </is>
      </c>
      <c r="D673" t="inlineStr">
        <is>
          <t>政府</t>
        </is>
      </c>
      <c r="E673" t="inlineStr">
        <is>
          <t>政府</t>
        </is>
      </c>
      <c r="F673" t="inlineStr">
        <is>
          <t>市政厅广场 1 号，20095 汉堡</t>
        </is>
      </c>
      <c r="G673" s="2" t="str">
        <f>=HYPERLINK("https://www.hamburg.de", "https://www.hamburg.de")</f>
        <v>https://www.hamburg.de</v>
      </c>
      <c r="H673" t="inlineStr">
        <is>
          <t>德国北部核心港城，欧洲船舶海工产业中心，坐拥全产业链生态，聚焦高端设计、豪华邮轮建造与海事产业统筹，是欧洲海事研发、金融、认证核心枢纽。</t>
        </is>
      </c>
      <c r="I673"/>
      <c r="J673"/>
      <c r="K673"/>
      <c r="L673" s="2" t="str">
        <f>=HYPERLINK("mailto:kontakt@bk.hamburg.de", "kontakt@bk.hamburg.de")</f>
        <v>kontakt@bk.hamburg.de</v>
      </c>
      <c r="M673" t="inlineStr">
        <is>
          <t>+49 (0) 40 42831-2409</t>
        </is>
      </c>
      <c r="N673" s="3">
        <v>46100</v>
      </c>
      <c r="O673" t="inlineStr">
        <is>
          <t>已联系未回复</t>
        </is>
      </c>
      <c r="P673"/>
      <c r="Q673" t="inlineStr">
        <is>
          <t>南通船舶方向经济合作</t>
        </is>
      </c>
      <c r="R673"/>
      <c r="S673"/>
      <c r="T673"/>
    </row>
    <row r="674" ht="25.5" customHeight="1">
      <c r="A674" t="inlineStr">
        <is>
          <t>基尔/Kiel</t>
        </is>
      </c>
      <c r="B674" t="inlineStr">
        <is>
          <t>德国</t>
        </is>
      </c>
      <c r="C674" t="inlineStr">
        <is>
          <t>基尔</t>
        </is>
      </c>
      <c r="D674" t="inlineStr">
        <is>
          <t>政府</t>
        </is>
      </c>
      <c r="E674" t="inlineStr">
        <is>
          <t>政府</t>
        </is>
      </c>
      <c r="F674" t="inlineStr">
        <is>
          <t>基尔市市政厅，24103 基尔</t>
        </is>
      </c>
      <c r="G674" s="2" t="str">
        <f>=HYPERLINK("https://www.kiel.de/", "https://www.kiel.de")</f>
        <v>https://www.kiel.de</v>
      </c>
      <c r="H674" t="inlineStr">
        <is>
          <t>基尔是德国最重要的港口城市之一，位于波罗的海沿岸，长期以来以 船舶建造 和 海洋技术 为主导产业。此外，基尔还是 海洋研究 和 环保技术的重要城市，拥有多所相关的科研机构。</t>
        </is>
      </c>
      <c r="I674" t="inlineStr">
        <is>
          <t>Mr.Jörn Genoux</t>
        </is>
      </c>
      <c r="J674" t="inlineStr">
        <is>
          <t>经济部门</t>
        </is>
      </c>
      <c r="K674"/>
      <c r="L674" s="2" t="str">
        <f>=HYPERLINK("mailto:Joern.Genoux@kiel.de", "Joern.Genoux@kiel.de")</f>
        <v>Joern.Genoux@kiel.de</v>
      </c>
      <c r="M674" t="inlineStr">
        <is>
          <t>+494319013075</t>
        </is>
      </c>
      <c r="N674" s="3">
        <v>46100</v>
      </c>
      <c r="O674" t="inlineStr">
        <is>
          <t>拒绝</t>
        </is>
      </c>
      <c r="P674" t="inlineStr">
        <is>
          <t>现在只能专注于现有的合作城市</t>
        </is>
      </c>
      <c r="Q674" t="inlineStr">
        <is>
          <t>南通船舶方向经济合作</t>
        </is>
      </c>
      <c r="R674"/>
      <c r="S674"/>
      <c r="T674"/>
    </row>
    <row r="675" ht="25.5" customHeight="1">
      <c r="A675" t="inlineStr">
        <is>
          <t>不来梅/Bremen</t>
        </is>
      </c>
      <c r="B675" t="inlineStr">
        <is>
          <t>德国</t>
        </is>
      </c>
      <c r="C675" t="inlineStr">
        <is>
          <t>不来梅</t>
        </is>
      </c>
      <c r="D675" t="inlineStr">
        <is>
          <t>政府</t>
        </is>
      </c>
      <c r="E675" t="inlineStr">
        <is>
          <t>政府</t>
        </is>
      </c>
      <c r="F675" t="inlineStr">
        <is>
          <t>安斯加里托大街 11 号，28195 不来梅</t>
        </is>
      </c>
      <c r="G675" s="2" t="str">
        <f>=HYPERLINK("https://www.bremen.de/", "https://www.bremen.de")</f>
        <v>https://www.bremen.de</v>
      </c>
      <c r="H675" t="inlineStr">
        <is>
          <t>德国北部重要工业城，船舶海工研发设计 + 检测认证核心，统筹北部海事产业创新资源，是德国海事创新集群核心节点。</t>
        </is>
      </c>
      <c r="I675" t="inlineStr">
        <is>
          <t>Ms. Agnes Knelangen</t>
        </is>
      </c>
      <c r="J675" t="inlineStr">
        <is>
          <t>项目经理</t>
        </is>
      </c>
      <c r="K675"/>
      <c r="L675" s="2" t="str">
        <f>=HYPERLINK("mailto:agnes.knelangen@wfb-bremen.de", "agnes.knelangen@wfb-bremen.de")</f>
        <v>agnes.knelangen@wfb-bremen.de</v>
      </c>
      <c r="M675" t="inlineStr">
        <is>
          <t>+49 (0) 421 163 399-473</t>
        </is>
      </c>
      <c r="N675" s="3">
        <v>46100</v>
      </c>
      <c r="O675" t="inlineStr">
        <is>
          <t>已联系未回复</t>
        </is>
      </c>
      <c r="P675"/>
      <c r="Q675" t="inlineStr">
        <is>
          <t>南通船舶方向经济合作</t>
        </is>
      </c>
      <c r="R675"/>
      <c r="S675"/>
      <c r="T675"/>
    </row>
    <row r="676" ht="25.5" customHeight="1">
      <c r="A676" t="inlineStr">
        <is>
          <t>不来梅哈芬/Bremerhaven</t>
        </is>
      </c>
      <c r="B676" t="inlineStr">
        <is>
          <t>德国</t>
        </is>
      </c>
      <c r="C676" t="inlineStr">
        <is>
          <t>不来梅哈芬</t>
        </is>
      </c>
      <c r="D676" t="inlineStr">
        <is>
          <t>政府</t>
        </is>
      </c>
      <c r="E676" t="inlineStr">
        <is>
          <t>政府</t>
        </is>
      </c>
      <c r="F676" t="inlineStr">
        <is>
          <t>欣里希 - 施马尔费尔特大街，27576 不来梅哈芬</t>
        </is>
      </c>
      <c r="G676" s="2" t="str">
        <f>=HYPERLINK("https://www.bremerhaven.de/", "https://www.bremerhaven.de")</f>
        <v>https://www.bremerhaven.de</v>
      </c>
      <c r="H676" t="inlineStr">
        <is>
          <t>不来梅联动港城，德国最大修船基地，主攻船舶维修、豪华邮轮改装与海上风电配套制造，是北海海工装备出口核心枢纽。</t>
        </is>
      </c>
      <c r="I676" t="inlineStr">
        <is>
          <t>Frau Martina Klüver</t>
        </is>
      </c>
      <c r="J676"/>
      <c r="K676"/>
      <c r="L676" s="2" t="str">
        <f>=HYPERLINK("mailto:martina.kluever@magistrat.bremerhaven.de", "martina.kluever@magistrat.bremerhaven.de")</f>
        <v>martina.kluever@magistrat.bremerhaven.de</v>
      </c>
      <c r="M676" t="inlineStr">
        <is>
          <t>+49 471 590-2102</t>
        </is>
      </c>
      <c r="N676" s="3">
        <v>46100</v>
      </c>
      <c r="O676" t="inlineStr">
        <is>
          <t>拒绝</t>
        </is>
      </c>
      <c r="P676" t="inlineStr">
        <is>
          <t>表示对方日益注重旅游业，目前重点不在船舶方向，所以无法为我们提供帮助</t>
        </is>
      </c>
      <c r="Q676" t="inlineStr">
        <is>
          <t>南通船舶方向经济合作</t>
        </is>
      </c>
      <c r="R676"/>
      <c r="S676"/>
      <c r="T676"/>
    </row>
    <row r="677" ht="25.5" customHeight="1">
      <c r="A677" t="inlineStr">
        <is>
          <t>库克斯港/Cuxhaven</t>
        </is>
      </c>
      <c r="B677" t="inlineStr">
        <is>
          <t>德国</t>
        </is>
      </c>
      <c r="C677" t="inlineStr">
        <is>
          <t>库克斯港</t>
        </is>
      </c>
      <c r="D677" t="inlineStr">
        <is>
          <t>政府</t>
        </is>
      </c>
      <c r="E677" t="inlineStr">
        <is>
          <t>政府</t>
        </is>
      </c>
      <c r="F677" t="inlineStr">
        <is>
          <t>市政厅广场 1 号，27472 库克斯港</t>
        </is>
      </c>
      <c r="G677" s="2" t="str">
        <f>=HYPERLINK("https://www.cuxhaven.de/", "https://www.cuxhaven.de")</f>
        <v>https://www.cuxhaven.de</v>
      </c>
      <c r="H677" t="inlineStr">
        <is>
          <t>德国北海离岸海工核心，海上风电重型装备生产 + 装船专属枢纽，拥有专业离岸工业中心，是北海风电场装备配套核心节点。</t>
        </is>
      </c>
      <c r="I677" t="inlineStr">
        <is>
          <t>Mr.Jürgen von Ahnen</t>
        </is>
      </c>
      <c r="J677" t="inlineStr">
        <is>
          <t>经济促进部门</t>
        </is>
      </c>
      <c r="K677"/>
      <c r="L677" s="2" t="str">
        <f>=HYPERLINK("mailto:juergen.v.ahnen@afw-cuxhaven.de", "juergen.v.ahnen@afw-cuxhaven.de")</f>
        <v>juergen.v.ahnen@afw-cuxhaven.de</v>
      </c>
      <c r="M677" t="inlineStr">
        <is>
          <t>+49 (0) 4721 / 599-70</t>
        </is>
      </c>
      <c r="N677" s="3">
        <v>46100</v>
      </c>
      <c r="O677" t="inlineStr">
        <is>
          <t>已联系未回复</t>
        </is>
      </c>
      <c r="P677"/>
      <c r="Q677" t="inlineStr">
        <is>
          <t>南通船舶方向经济合作</t>
        </is>
      </c>
      <c r="R677"/>
      <c r="S677"/>
      <c r="T677"/>
    </row>
    <row r="678" ht="25.5" customHeight="1">
      <c r="A678" t="inlineStr">
        <is>
          <t>罗斯托克/Rostock</t>
        </is>
      </c>
      <c r="B678" t="inlineStr">
        <is>
          <t>德国</t>
        </is>
      </c>
      <c r="C678" t="inlineStr">
        <is>
          <t>罗斯托克</t>
        </is>
      </c>
      <c r="D678" t="inlineStr">
        <is>
          <t>政府</t>
        </is>
      </c>
      <c r="E678" t="inlineStr">
        <is>
          <t>政府</t>
        </is>
      </c>
      <c r="F678" t="inlineStr">
        <is>
          <t>新集市广场 1 号，18055 罗斯托克</t>
        </is>
      </c>
      <c r="G678" s="2" t="str">
        <f>=HYPERLINK("https://www.rostock.de/", "https://www.rostock.de")</f>
        <v>https://www.rostock.de</v>
      </c>
      <c r="H678" t="inlineStr">
        <is>
          <t>德国波罗的海重要港城，船舶总装与海工设备制造重镇，侧重常规船舶、特种海工平台建造，波罗的海海事产业重要支撑。</t>
        </is>
      </c>
      <c r="I678" t="inlineStr">
        <is>
          <t>Mr. Jens Aurel Scharner</t>
        </is>
      </c>
      <c r="J678"/>
      <c r="K678"/>
      <c r="L678" s="2" t="str">
        <f>=HYPERLINK("mailto:management@rostock-port.de", "management@rostock-port.de")</f>
        <v>management@rostock-port.de</v>
      </c>
      <c r="M678" t="inlineStr">
        <is>
          <t>+49 (0) 381 350 4005</t>
        </is>
      </c>
      <c r="N678" s="3">
        <v>46100</v>
      </c>
      <c r="O678" t="inlineStr">
        <is>
          <t>已联系未回复</t>
        </is>
      </c>
      <c r="P678"/>
      <c r="Q678" t="inlineStr">
        <is>
          <t>南通船舶方向经济合作</t>
        </is>
      </c>
      <c r="R678"/>
      <c r="S678"/>
      <c r="T678"/>
    </row>
    <row r="679" ht="25.5" customHeight="1">
      <c r="A679" t="inlineStr">
        <is>
          <t>维斯马/Wismar</t>
        </is>
      </c>
      <c r="B679" t="inlineStr">
        <is>
          <t>德国</t>
        </is>
      </c>
      <c r="C679" t="inlineStr">
        <is>
          <t>维斯马</t>
        </is>
      </c>
      <c r="D679" t="inlineStr">
        <is>
          <t>政府</t>
        </is>
      </c>
      <c r="E679" t="inlineStr">
        <is>
          <t>政府</t>
        </is>
      </c>
      <c r="F679" t="inlineStr">
        <is>
          <t>集市广场 1 号，23966 维斯马</t>
        </is>
      </c>
      <c r="G679" s="2" t="str">
        <f>=HYPERLINK("https://www.wismar.de/", "https://www.wismar.de")</f>
        <v>https://www.wismar.de</v>
      </c>
      <c r="H679" t="inlineStr">
        <is>
          <t>德国波罗的海船舶制造核心，专攻军用护卫舰、小型特种船舶总装，是德国军用船舶配套制造的重要基地。</t>
        </is>
      </c>
      <c r="I679" t="inlineStr">
        <is>
          <t>Ms.Katrin Schulz</t>
        </is>
      </c>
      <c r="J679"/>
      <c r="K679"/>
      <c r="L679" s="2" t="str">
        <f>=HYPERLINK("http://KSchulz@wismar.de", "KSchulz@wismar.de")</f>
        <v>KSchulz@wismar.de</v>
      </c>
      <c r="M679" t="inlineStr">
        <is>
          <t>03841 251-9003</t>
        </is>
      </c>
      <c r="N679" s="3">
        <v>46100</v>
      </c>
      <c r="O679" t="inlineStr">
        <is>
          <t>已联系未回复</t>
        </is>
      </c>
      <c r="P679"/>
      <c r="Q679" t="inlineStr">
        <is>
          <t>南通船舶方向经济合作</t>
        </is>
      </c>
      <c r="R679"/>
      <c r="S679"/>
      <c r="T679"/>
    </row>
    <row r="680" ht="25.5" customHeight="1">
      <c r="A680" t="inlineStr">
        <is>
          <t>埃姆登/Emden</t>
        </is>
      </c>
      <c r="B680" t="inlineStr">
        <is>
          <t>德国</t>
        </is>
      </c>
      <c r="C680" t="inlineStr">
        <is>
          <t>埃姆登</t>
        </is>
      </c>
      <c r="D680" t="inlineStr">
        <is>
          <t>政府</t>
        </is>
      </c>
      <c r="E680" t="inlineStr">
        <is>
          <t>政府</t>
        </is>
      </c>
      <c r="F680" t="inlineStr">
        <is>
          <t>弗里肯施泰因广场 2 号，26723 埃姆登</t>
        </is>
      </c>
      <c r="G680" s="2" t="str">
        <f>=HYPERLINK("https://www.emden.de/", "https://www.emden.de")</f>
        <v>https://www.emden.de</v>
      </c>
      <c r="H680" t="inlineStr">
        <is>
          <t>德国北海临港产业城，船舶配套与海工物流枢纽，兼顾海上风电装备运输与风电场运维保障，临港海工配套能力突出。</t>
        </is>
      </c>
      <c r="I680" t="inlineStr">
        <is>
          <t>Mr. Martje Merten</t>
        </is>
      </c>
      <c r="J680" t="inlineStr">
        <is>
          <t>经济与发展部门总经理</t>
        </is>
      </c>
      <c r="K680"/>
      <c r="L680" s="2" t="str">
        <f>=HYPERLINK("http://m.merten(at)wfs-emden.de", "m.merten(at)wfs-emden.de")</f>
        <v>m.merten(at)wfs-emden.de</v>
      </c>
      <c r="M680" t="inlineStr">
        <is>
          <t>+49 4921 59138-81</t>
        </is>
      </c>
      <c r="N680" s="3">
        <v>46100</v>
      </c>
      <c r="O680" t="inlineStr">
        <is>
          <t>已联系未回复</t>
        </is>
      </c>
      <c r="P680"/>
      <c r="Q680" t="inlineStr">
        <is>
          <t>南通船舶方向经济合作</t>
        </is>
      </c>
      <c r="R680"/>
      <c r="S680"/>
      <c r="T680"/>
    </row>
    <row r="681" ht="25.5" customHeight="1">
      <c r="A681" t="inlineStr">
        <is>
          <t>威廉/Wilhelmshaven</t>
        </is>
      </c>
      <c r="B681" t="inlineStr">
        <is>
          <t>德国</t>
        </is>
      </c>
      <c r="C681" t="inlineStr">
        <is>
          <t>威廉</t>
        </is>
      </c>
      <c r="D681" t="inlineStr">
        <is>
          <t>政府</t>
        </is>
      </c>
      <c r="E681" t="inlineStr">
        <is>
          <t>政府</t>
        </is>
      </c>
      <c r="F681" t="inlineStr">
        <is>
          <t>市政厅广场 1 号，26382 威廉港</t>
        </is>
      </c>
      <c r="G681" s="2" t="str">
        <f>=HYPERLINK("https://www.wilhelmshaven.de/", "https://www.wilhelmshaven.de")</f>
        <v>https://www.wilhelmshaven.de</v>
      </c>
      <c r="H681" t="inlineStr">
        <is>
          <t>德国北海顶级海工港城，拥有深水良港，聚焦大型海工平台制造、海上风电基地建设，是北海海工产业重要的装备集散中心。</t>
        </is>
      </c>
      <c r="I681" t="inlineStr">
        <is>
          <t>Rouwen Janssen</t>
        </is>
      </c>
      <c r="J681" t="inlineStr">
        <is>
          <t>经济事务行政联系人</t>
        </is>
      </c>
      <c r="K681"/>
      <c r="L681" s="2" t="str">
        <f>=HYPERLINK("mailto:rouwen.janssen@wilhelmshaven.de", "rouwen.janssen@wilhelmshaven.de")</f>
        <v>rouwen.janssen@wilhelmshaven.de</v>
      </c>
      <c r="M681" t="inlineStr">
        <is>
          <t>+49 4421 16-1184</t>
        </is>
      </c>
      <c r="N681" s="3">
        <v>46100</v>
      </c>
      <c r="O681" t="inlineStr">
        <is>
          <t>已联系已回复</t>
        </is>
      </c>
      <c r="P681" t="inlineStr">
        <is>
          <t>内部商讨中，如果对方有意进一步讨论会再联系我们</t>
        </is>
      </c>
      <c r="Q681" t="inlineStr">
        <is>
          <t>南通船舶方向经济合作</t>
        </is>
      </c>
      <c r="R681"/>
      <c r="S681"/>
      <c r="T681"/>
    </row>
    <row r="682" ht="25.5" customHeight="1">
      <c r="A682" t="inlineStr">
        <is>
          <t>伦茨堡/Rendsburg</t>
        </is>
      </c>
      <c r="B682" t="inlineStr">
        <is>
          <t>德国</t>
        </is>
      </c>
      <c r="C682" t="inlineStr">
        <is>
          <t>伦茨堡</t>
        </is>
      </c>
      <c r="D682" t="inlineStr">
        <is>
          <t>政府</t>
        </is>
      </c>
      <c r="E682" t="inlineStr">
        <is>
          <t>政府</t>
        </is>
      </c>
      <c r="F682" t="inlineStr">
        <is>
          <t>市长，4号体育馆，24768 伦兹堡</t>
        </is>
      </c>
      <c r="G682" s="2" t="str">
        <f>=HYPERLINK("https://www.rendsburg.de/startseite", "https://www.rendsburg.de/startseite")</f>
        <v>https://www.rendsburg.de/startseite</v>
      </c>
      <c r="H682" t="inlineStr">
        <is>
          <t>德国石勒苏益格-荷尔斯泰因州重要内陆港城，位于基尔运河沿线，交通便捷，拥有成熟的水运和物流体系，聚焦船舶制造、航运装备及运河运输服务，是德国北部内陆航运与水运装备产业的重要集散中心。</t>
        </is>
      </c>
      <c r="I682" t="inlineStr">
        <is>
          <t>Mr. Malte Butenschön</t>
        </is>
      </c>
      <c r="J682" t="inlineStr">
        <is>
          <t>金融与投资管理部门</t>
        </is>
      </c>
      <c r="K682"/>
      <c r="L682" s="2" t="str">
        <f>=HYPERLINK("mailto:malte.butenschoen@rendsburg.de", "malte.butenschoen@rendsburg.de")</f>
        <v>malte.butenschoen@rendsburg.de</v>
      </c>
      <c r="M682" t="inlineStr">
        <is>
          <t>+49 4331 206-2331</t>
        </is>
      </c>
      <c r="N682" s="3">
        <v>46100</v>
      </c>
      <c r="O682" t="inlineStr">
        <is>
          <t>已联系未回复</t>
        </is>
      </c>
      <c r="P682"/>
      <c r="Q682" t="inlineStr">
        <is>
          <t>南通船舶方向经济合作</t>
        </is>
      </c>
      <c r="R682"/>
      <c r="S682"/>
      <c r="T682"/>
    </row>
    <row r="683" ht="25.5" customHeight="1">
      <c r="A683" t="inlineStr">
        <is>
          <t>安格利亚鲁斯金大学（剑桥校区）
Anglia Ruskin University (Cambridge Campus)</t>
        </is>
      </c>
      <c r="B683" t="inlineStr">
        <is>
          <t>英国</t>
        </is>
      </c>
      <c r="C683" t="inlineStr">
        <is>
          <t>剑桥</t>
        </is>
      </c>
      <c r="D683" t="inlineStr">
        <is>
          <t>高校</t>
        </is>
      </c>
      <c r="E683" t="inlineStr">
        <is>
          <t>戏剧文化</t>
        </is>
      </c>
      <c r="F683" t="inlineStr">
        <is>
          <t>安格利亚鲁斯金大学，东路，剑桥，CB1 1PT</t>
        </is>
      </c>
      <c r="G683" s="2" t="str">
        <f>=HYPERLINK("https://www.aru.ac.uk/student-life/life-on-campus/cambridge-campus", "https://www.aru.ac.uk/student-life/life-on-campus/cambridge-campus")</f>
        <v>https://www.aru.ac.uk/student-life/life-on-campus/cambridge-campus</v>
      </c>
      <c r="H683" t="inlineStr">
        <is>
          <t>该校源自 1858 年创立的剑桥艺术学院，坐落于剑桥市中心，是一所综合性公立大学。学校在艺术设计、创意产业、商科等领域实力突出，戏剧与表演艺术资源完善，拥有专业剧场和实践教学平台，办学务实开放，艺术氛围浓厚。</t>
        </is>
      </c>
      <c r="I683" t="inlineStr">
        <is>
          <t>Dr Jonathan Croose</t>
        </is>
      </c>
      <c r="J683" t="inlineStr">
        <is>
          <t>戏剧课程主任</t>
        </is>
      </c>
      <c r="K683"/>
      <c r="L683" s="2" t="str">
        <f>=HYPERLINK("mailto:jonathan.croose@aru.ac.uk", "jonathan.croose@aru.ac.uk")</f>
        <v>jonathan.croose@aru.ac.uk</v>
      </c>
      <c r="M683" t="inlineStr">
        <is>
          <t>+44 01245 686868</t>
        </is>
      </c>
      <c r="N683" s="3">
        <v>46101</v>
      </c>
      <c r="O683" t="inlineStr">
        <is>
          <t>已联系已回复</t>
        </is>
      </c>
      <c r="P683" t="inlineStr">
        <is>
          <t>表示需要和资深同事沟通后再次联系我</t>
        </is>
      </c>
      <c r="Q683" t="inlineStr">
        <is>
          <t>昆山文旅英法团组</t>
        </is>
      </c>
      <c r="R683"/>
      <c r="S683"/>
      <c r="T683"/>
    </row>
    <row r="684" ht="25.5" customHeight="1">
      <c r="A684" t="inlineStr">
        <is>
          <t>剑桥视觉与表演艺术学院
Cambridge School of Visual &amp; Performing Arts (CSVPA)</t>
        </is>
      </c>
      <c r="B684" t="inlineStr">
        <is>
          <t>英国</t>
        </is>
      </c>
      <c r="C684" t="inlineStr">
        <is>
          <t>剑桥</t>
        </is>
      </c>
      <c r="D684" t="inlineStr">
        <is>
          <t>高校</t>
        </is>
      </c>
      <c r="E684" t="inlineStr">
        <is>
          <t>戏剧文化</t>
        </is>
      </c>
      <c r="F684" t="inlineStr">
        <is>
          <t>剑桥
CB5 8AD圆教堂街 14 号</t>
        </is>
      </c>
      <c r="G684" s="2" t="str">
        <f>=HYPERLINK("https://www.csvpa.com/", "https://www.csvpa.com/")</f>
        <v>https://www.csvpa.com/</v>
      </c>
      <c r="H684" t="inlineStr">
        <is>
          <t>学院 1985 年成立于剑桥市中心，专注艺术、音乐与戏剧表演教育。以小班化、专业化教学为特色，课程覆盖表演、音乐剧等方向，与英国艺术行业联系紧密，国际化程度高，艺术教育口碑优良。</t>
        </is>
      </c>
      <c r="I684" t="inlineStr">
        <is>
          <t>Dr. Karin Askham</t>
        </is>
      </c>
      <c r="J684" t="inlineStr">
        <is>
          <t>校长</t>
        </is>
      </c>
      <c r="K684"/>
      <c r="L684" s="2" t="str">
        <f>=HYPERLINK("mailto:kaskham@csvpa.com", "kaskham@csvpa.com")</f>
        <v>kaskham@csvpa.com</v>
      </c>
      <c r="M684" t="inlineStr">
        <is>
          <t>+44 01223 341328</t>
        </is>
      </c>
      <c r="N684" s="3">
        <v>46101</v>
      </c>
      <c r="O684" t="inlineStr">
        <is>
          <t>已联系未回复</t>
        </is>
      </c>
      <c r="P684"/>
      <c r="Q684" t="inlineStr">
        <is>
          <t>昆山文旅英法团组</t>
        </is>
      </c>
      <c r="R684"/>
      <c r="S684"/>
      <c r="T684"/>
    </row>
    <row r="685" ht="25.5" customHeight="1">
      <c r="A685" t="inlineStr">
        <is>
          <t>剑桥表演学院
Cambridge Acting Academy</t>
        </is>
      </c>
      <c r="B685" t="inlineStr">
        <is>
          <t>英国</t>
        </is>
      </c>
      <c r="C685" t="inlineStr">
        <is>
          <t>剑桥</t>
        </is>
      </c>
      <c r="D685" t="inlineStr">
        <is>
          <t>高校</t>
        </is>
      </c>
      <c r="E685" t="inlineStr">
        <is>
          <t>戏剧文化</t>
        </is>
      </c>
      <c r="F685" t="inlineStr">
        <is>
          <t>英国剑桥巴顿路 65 号，邮编：CB3 9LG</t>
        </is>
      </c>
      <c r="G685" s="2" t="str">
        <f>=HYPERLINK("https://www.cambridgeactingacademy.co.uk/", "https://www.cambridgeactingacademy.co.uk/")</f>
        <v>https://www.cambridgeactingacademy.co.uk/</v>
      </c>
      <c r="H685" t="inlineStr">
        <is>
          <t>这是位于剑桥市中心的专业表演培训机构，专注舞台表演、台词训练与莎士比亚戏剧教学。课程以实践为主，师资专业，教学灵活高效，在职业表演技能培训领域特色鲜明、定位清晰。</t>
        </is>
      </c>
      <c r="I685"/>
      <c r="J685"/>
      <c r="K685"/>
      <c r="L685" s="2" t="str">
        <f>=HYPERLINK("mailto:helen.strange@csaacademy.co.uk", "helen.strange@csaacademy.co.uk")</f>
        <v>helen.strange@csaacademy.co.uk</v>
      </c>
      <c r="M685" t="inlineStr">
        <is>
          <t>07789 726779</t>
        </is>
      </c>
      <c r="N685" s="3">
        <v>46101</v>
      </c>
      <c r="O685" t="inlineStr">
        <is>
          <t>已联系未回复</t>
        </is>
      </c>
      <c r="P685"/>
      <c r="Q685" t="inlineStr">
        <is>
          <t>昆山文旅英法团组</t>
        </is>
      </c>
      <c r="R685"/>
      <c r="S685"/>
      <c r="T685"/>
    </row>
    <row r="686" ht="25.5" customHeight="1">
      <c r="A686" t="inlineStr">
        <is>
          <t>埃塞克斯大学（科尔切斯特校区）
University of Essex (Colchester Campus)</t>
        </is>
      </c>
      <c r="B686" t="inlineStr">
        <is>
          <t>英国</t>
        </is>
      </c>
      <c r="C686" t="inlineStr">
        <is>
          <t>科尔切斯特</t>
        </is>
      </c>
      <c r="D686" t="inlineStr">
        <is>
          <t>高校</t>
        </is>
      </c>
      <c r="E686" t="inlineStr">
        <is>
          <t>戏剧文化</t>
        </is>
      </c>
      <c r="F686" t="inlineStr">
        <is>
          <t>5NW.4.17，科尔切斯特校区</t>
        </is>
      </c>
      <c r="G686" s="2" t="str">
        <f>=HYPERLINK("https://www.essex.ac.uk/departments", "https://www.essex.ac.uk/departments")</f>
        <v>https://www.essex.ac.uk/departments</v>
      </c>
      <c r="H686" t="inlineStr">
        <is>
          <t>该校 1964 年建校，位于英格兰东部的科尔切斯特，是一所研究实力较强的公立大学。除社会科学、法律、计算机等优势学科外，戏剧与表演艺术水平突出，依托东 15 表演学院形成优质实践与教学体系。</t>
        </is>
      </c>
      <c r="I686"/>
      <c r="J686" t="inlineStr">
        <is>
          <t>文学、电影和戏剧研究教学团队</t>
        </is>
      </c>
      <c r="K686"/>
      <c r="L686" s="2" t="str">
        <f>=HYPERLINK("mailto:liftstt@essex.ac.uk", "liftstt@essex.ac.uk")</f>
        <v>liftstt@essex.ac.uk</v>
      </c>
      <c r="M686" t="inlineStr">
        <is>
          <t>+44 (0)1206 872626</t>
        </is>
      </c>
      <c r="N686" s="3">
        <v>46101</v>
      </c>
      <c r="O686" t="inlineStr">
        <is>
          <t>拒绝</t>
        </is>
      </c>
      <c r="P686" t="inlineStr">
        <is>
          <t>表示展示接待不了</t>
        </is>
      </c>
      <c r="Q686" t="inlineStr">
        <is>
          <t>昆山文旅英法团组</t>
        </is>
      </c>
      <c r="R686"/>
      <c r="S686"/>
      <c r="T686"/>
    </row>
    <row r="687" ht="25.5" customHeight="1">
      <c r="A687" t="inlineStr">
        <is>
          <t>北安普顿大学
University of Northampton</t>
        </is>
      </c>
      <c r="B687" t="inlineStr">
        <is>
          <t>英国</t>
        </is>
      </c>
      <c r="C687" t="inlineStr">
        <is>
          <t>北安普顿</t>
        </is>
      </c>
      <c r="D687" t="inlineStr">
        <is>
          <t>高校</t>
        </is>
      </c>
      <c r="E687" t="inlineStr">
        <is>
          <t>戏剧文化</t>
        </is>
      </c>
      <c r="F687" t="inlineStr">
        <is>
          <t>水滨校区，大学路，北安普顿 - NN1 5PH</t>
        </is>
      </c>
      <c r="G687" s="2" t="str">
        <f>=HYPERLINK("https://www.northampton.ac.uk/", "https://www.northampton.ac.uk/")</f>
        <v>https://www.northampton.ac.uk/</v>
      </c>
      <c r="H687" t="inlineStr">
        <is>
          <t>北安普顿大学是英格兰中部的现代化公立大学，办学历史可追溯至 20 世纪初。学校在商科、教育、健康与创意艺术等领域优势明显，戏剧与表演专业注重实践，校园多元包容，办学风格务实。</t>
        </is>
      </c>
      <c r="I687" t="inlineStr">
        <is>
          <t>Mr Emmett Tams</t>
        </is>
      </c>
      <c r="J687" t="inlineStr">
        <is>
          <t>表演系与戏剧高级讲师</t>
        </is>
      </c>
      <c r="K687"/>
      <c r="L687" s="2" t="str">
        <f>=HYPERLINK("mailto:Emmett.Tams@northampton.ac.uk", "Emmett.Tams@northampton.ac.uk")</f>
        <v>Emmett.Tams@northampton.ac.uk</v>
      </c>
      <c r="M687" t="inlineStr">
        <is>
          <t>+44 01604 893880</t>
        </is>
      </c>
      <c r="N687" s="3">
        <v>46101</v>
      </c>
      <c r="O687" t="inlineStr">
        <is>
          <t>已联系未回复</t>
        </is>
      </c>
      <c r="P687"/>
      <c r="Q687" t="inlineStr">
        <is>
          <t>昆山文旅英法团组</t>
        </is>
      </c>
      <c r="R687"/>
      <c r="S687"/>
      <c r="T687"/>
    </row>
    <row r="688" ht="25.5" customHeight="1">
      <c r="A688" t="inlineStr">
        <is>
          <t>贝德福德大学
University of Bedfordshire</t>
        </is>
      </c>
      <c r="B688" t="inlineStr">
        <is>
          <t>英国</t>
        </is>
      </c>
      <c r="C688" t="inlineStr">
        <is>
          <t>卢顿</t>
        </is>
      </c>
      <c r="D688" t="inlineStr">
        <is>
          <t>高校</t>
        </is>
      </c>
      <c r="E688" t="inlineStr">
        <is>
          <t>戏剧文化</t>
        </is>
      </c>
      <c r="F688" t="inlineStr">
        <is>
          <t>大学广场，卢顿，LU1 3JU</t>
        </is>
      </c>
      <c r="G688" s="2" t="str">
        <f>=HYPERLINK("https://www.beds.ac.uk/", "https://www.beds.ac.uk/")</f>
        <v>https://www.beds.ac.uk/</v>
      </c>
      <c r="H688" t="inlineStr">
        <is>
          <t>该校前身始于 1908 年，地处伦敦与剑桥之间，交通便利。作为应用型公立大学，其在创意艺术、商科、教育等方向布局完善，戏剧、表演与音乐剧设施齐全，重视实践教学与行业对接。</t>
        </is>
      </c>
      <c r="I688"/>
      <c r="J688"/>
      <c r="K688"/>
      <c r="L688" s="2" t="str">
        <f>=HYPERLINK("mailto:alexander.perry@beds.ac.uk", "alexander.perry@beds.ac.uk")</f>
        <v>alexander.perry@beds.ac.uk</v>
      </c>
      <c r="M688" t="inlineStr">
        <is>
          <t>+44 (0) 1234 793414</t>
        </is>
      </c>
      <c r="N688" s="3">
        <v>46101</v>
      </c>
      <c r="O688" t="inlineStr">
        <is>
          <t>已联系未回复</t>
        </is>
      </c>
      <c r="P688"/>
      <c r="Q688" t="inlineStr">
        <is>
          <t>昆山文旅英法团组</t>
        </is>
      </c>
      <c r="R688"/>
      <c r="S688"/>
      <c r="T688"/>
    </row>
    <row r="689" ht="25.5" customHeight="1">
      <c r="A689" t="inlineStr">
        <is>
          <t>剑桥大学附属剧场
ADC Theatre, University of Cambridge</t>
        </is>
      </c>
      <c r="B689" t="inlineStr">
        <is>
          <t>英国</t>
        </is>
      </c>
      <c r="C689" t="inlineStr">
        <is>
          <t>剑桥</t>
        </is>
      </c>
      <c r="D689" t="inlineStr">
        <is>
          <t>剧团</t>
        </is>
      </c>
      <c r="E689" t="inlineStr">
        <is>
          <t>戏剧文化</t>
        </is>
      </c>
      <c r="F689" t="inlineStr">
        <is>
          <t>ADC剧院，公园街，剑桥，CB5 8AS</t>
        </is>
      </c>
      <c r="G689" s="2" t="str">
        <f>=HYPERLINK("https://www.adctheatre.com/", "https://www.adctheatre.com/")</f>
        <v>https://www.adctheatre.com/</v>
      </c>
      <c r="H689" t="inlineStr">
        <is>
          <t>ADC Theatre 是英国历史最悠久的大学剧场之一，长期作为剑桥大学戏剧活动中心。由学生自主运营，上演话剧、音乐剧及原创作品，拥有深厚的校园戏剧传统与浓厚的艺术氛围。</t>
        </is>
      </c>
      <c r="I689"/>
      <c r="J689"/>
      <c r="K689"/>
      <c r="L689" s="2" t="str">
        <f>=HYPERLINK("mailto:boxoffice@adctheatre.com", "boxoffice@adctheatre.com")</f>
        <v>boxoffice@adctheatre.com</v>
      </c>
      <c r="M689" t="inlineStr">
        <is>
          <t>01223 300085</t>
        </is>
      </c>
      <c r="N689" s="3">
        <v>46101</v>
      </c>
      <c r="O689" t="inlineStr">
        <is>
          <t>已联系已回复</t>
        </is>
      </c>
      <c r="P689" t="inlineStr">
        <is>
          <t>表示对我们的计划很感兴趣，想要线上会议更了解我们的项目，后期可推荐更合适的联系人</t>
        </is>
      </c>
      <c r="Q689" t="inlineStr">
        <is>
          <t>昆山文旅英法团组</t>
        </is>
      </c>
      <c r="R689"/>
      <c r="S689"/>
      <c r="T689"/>
    </row>
    <row r="690" ht="25.5" customHeight="1">
      <c r="A690" t="inlineStr">
        <is>
          <t>剑桥艺术剧院
Cambridge Arts Theatre</t>
        </is>
      </c>
      <c r="B690" t="inlineStr">
        <is>
          <t>英国</t>
        </is>
      </c>
      <c r="C690" t="inlineStr">
        <is>
          <t>剑桥</t>
        </is>
      </c>
      <c r="D690" t="inlineStr">
        <is>
          <t>剧团</t>
        </is>
      </c>
      <c r="E690" t="inlineStr">
        <is>
          <t>戏剧文化</t>
        </is>
      </c>
      <c r="F690" t="inlineStr">
        <is>
          <t>圣爱德华小道 6 号，剑桥，CB2 3PJ</t>
        </is>
      </c>
      <c r="G690" s="2" t="str">
        <f>=HYPERLINK("https://www.artstheatre.co.uk/", "https://www.artstheatre.co.uk/")</f>
        <v>https://www.artstheatre.co.uk/</v>
      </c>
      <c r="H690" t="inlineStr">
        <is>
          <t>该剧院 1936 年建于剑桥市中心，是当地重要的专业演出场所。常年上演高水平话剧、音乐剧、舞蹈等剧目，舞台设施专业，演出品质稳定，是剑桥极具代表性的文化地标。</t>
        </is>
      </c>
      <c r="I690"/>
      <c r="J690" t="inlineStr">
        <is>
          <t>剧院经理</t>
        </is>
      </c>
      <c r="K690"/>
      <c r="L690" s="2" t="str">
        <f>=HYPERLINK("mailto:pete@artstheatre.co.uk", "pete@artstheatre.co.uk")</f>
        <v>pete@artstheatre.co.uk</v>
      </c>
      <c r="M690" t="inlineStr">
        <is>
          <t>01223 503333</t>
        </is>
      </c>
      <c r="N690" s="3">
        <v>46101</v>
      </c>
      <c r="O690" t="inlineStr">
        <is>
          <t>已联系未回复</t>
        </is>
      </c>
      <c r="P690"/>
      <c r="Q690" t="inlineStr">
        <is>
          <t>昆山文旅英法团组</t>
        </is>
      </c>
      <c r="R690"/>
      <c r="S690"/>
      <c r="T690"/>
    </row>
    <row r="691" ht="25.5" customHeight="1">
      <c r="A691" t="inlineStr">
        <is>
          <t>剑桥交汇艺术中心
Cambridge Junction</t>
        </is>
      </c>
      <c r="B691" t="inlineStr">
        <is>
          <t>英国</t>
        </is>
      </c>
      <c r="C691" t="inlineStr">
        <is>
          <t>剑桥</t>
        </is>
      </c>
      <c r="D691" t="inlineStr">
        <is>
          <t>艺术中心</t>
        </is>
      </c>
      <c r="E691" t="inlineStr">
        <is>
          <t>戏剧文化</t>
        </is>
      </c>
      <c r="F691" t="inlineStr">
        <is>
          <t>剑桥枢纽站，克利夫顿路，
剑桥，CB1 7GX</t>
        </is>
      </c>
      <c r="G691" s="2" t="str">
        <f>=HYPERLINK("https://www.junction.co.uk/", "https://www.junction.co.uk/")</f>
        <v>https://www.junction.co.uk/</v>
      </c>
      <c r="H691" t="inlineStr">
        <is>
          <t>中心 1990 年开放，位于剑桥市中心，以当代艺术与实验戏剧为特色。涵盖现代剧场、独立音乐、跨界艺术等内容，风格新锐多元，注重创新与公众参与，是当地充满活力的文化交流平台。</t>
        </is>
      </c>
      <c r="I691"/>
      <c r="J691"/>
      <c r="K691"/>
      <c r="L691" s="2" t="str">
        <f>=HYPERLINK("mailto:matt.burman@junction.co.uk", "matt.burman@junction.co.uk")</f>
        <v>matt.burman@junction.co.uk</v>
      </c>
      <c r="M691" t="inlineStr">
        <is>
          <t>+44 1223 511511</t>
        </is>
      </c>
      <c r="N691" s="3">
        <v>46101</v>
      </c>
      <c r="O691" t="inlineStr">
        <is>
          <t>已联系未回复</t>
        </is>
      </c>
      <c r="P691"/>
      <c r="Q691" t="inlineStr">
        <is>
          <t>昆山文旅英法团组</t>
        </is>
      </c>
      <c r="R691"/>
      <c r="S691"/>
      <c r="T691"/>
    </row>
    <row r="692" ht="25.5" customHeight="1">
      <c r="A692" t="inlineStr">
        <is>
          <t>威斯敏斯特大学传媒与艺术学部
University of Westminster</t>
        </is>
      </c>
      <c r="B692" t="inlineStr">
        <is>
          <t>英国</t>
        </is>
      </c>
      <c r="C692" t="inlineStr">
        <is>
          <t>伦敦</t>
        </is>
      </c>
      <c r="D692" t="inlineStr">
        <is>
          <t>高校</t>
        </is>
      </c>
      <c r="E692" t="inlineStr">
        <is>
          <t>戏剧文化</t>
        </is>
      </c>
      <c r="F692" t="inlineStr">
        <is>
          <t>威斯敏斯特大学，地址：伦敦
摄政街309号，邮编：W1B 2HW</t>
        </is>
      </c>
      <c r="G692" s="2" t="str">
        <f>=HYPERLINK("https://www.westminster.ac.uk/", "https://www.westminster.ac.uk/")</f>
        <v>https://www.westminster.ac.uk/</v>
      </c>
      <c r="H692" t="inlineStr">
        <is>
          <t>坐落于伦敦核心地带，是全球公认的顶尖传媒教育基地，以深厚的行业资源与先锋的创作实践，培养了无数引领世界影像与传播变革的杰出人才。</t>
        </is>
      </c>
      <c r="I692"/>
      <c r="J692"/>
      <c r="K692"/>
      <c r="L692" s="2" t="str">
        <f>=HYPERLINK("mailto:collaborate@westminster.ac.uk", "collaborate@westminster.ac.uk")</f>
        <v>collaborate@westminster.ac.uk</v>
      </c>
      <c r="M692" t="inlineStr">
        <is>
          <t>+44 (0)20 7911 5000</t>
        </is>
      </c>
      <c r="N692" s="3">
        <v>46101</v>
      </c>
      <c r="O692" t="inlineStr">
        <is>
          <t>拒绝</t>
        </is>
      </c>
      <c r="P692" t="inlineStr">
        <is>
          <t>我们请求访问的时间处于大多数教职工休假期间，并且目前没有能力考虑此类新的合作项目，日后如果有合作的机会会再联系我们</t>
        </is>
      </c>
      <c r="Q692" t="inlineStr">
        <is>
          <t>昆山文旅英法团组</t>
        </is>
      </c>
      <c r="R692"/>
      <c r="S692"/>
      <c r="T692"/>
    </row>
    <row r="693" ht="25.5" customHeight="1">
      <c r="A693" t="inlineStr">
        <is>
          <t>伦敦剧院协会
Society of London Theatre</t>
        </is>
      </c>
      <c r="B693" t="inlineStr">
        <is>
          <t>英国</t>
        </is>
      </c>
      <c r="C693" t="inlineStr">
        <is>
          <t>伦敦</t>
        </is>
      </c>
      <c r="D693" t="inlineStr">
        <is>
          <t>商协会</t>
        </is>
      </c>
      <c r="E693" t="inlineStr">
        <is>
          <t>戏剧文化</t>
        </is>
      </c>
      <c r="F693" t="inlineStr">
        <is>
          <t>伦敦科
文特花园罗斯街32号，邮编WC2E 9ET</t>
        </is>
      </c>
      <c r="G693" s="2" t="str">
        <f>=HYPERLINK("https://solt.co.uk/", "https://solt.co.uk/")</f>
        <v>https://solt.co.uk/</v>
      </c>
      <c r="H693" t="inlineStr">
        <is>
          <t>代表伦敦西区主流商业剧院与演出制作方的核心行业机构，不仅主办享誉全球的奥利弗奖，更致力于维护戏剧艺术水准、推动舞台产业的繁荣与创新。</t>
        </is>
      </c>
      <c r="I693"/>
      <c r="J693"/>
      <c r="K693"/>
      <c r="L693" s="2" t="str">
        <f>=HYPERLINK("http://pressenquiries@soltukt.co.uk", "pressenquiries@soltukt.co.uk")</f>
        <v>pressenquiries@soltukt.co.uk</v>
      </c>
      <c r="M693" t="inlineStr">
        <is>
          <t>+44 (0) 20 7557 6700</t>
        </is>
      </c>
      <c r="N693" s="3">
        <v>46101</v>
      </c>
      <c r="O693" t="inlineStr">
        <is>
          <t>已联系未回复</t>
        </is>
      </c>
      <c r="P693"/>
      <c r="Q693" t="inlineStr">
        <is>
          <t>昆山文旅英法团组</t>
        </is>
      </c>
      <c r="R693"/>
      <c r="S693"/>
      <c r="T693"/>
    </row>
    <row r="694" ht="25.5" customHeight="1">
      <c r="A694" t="inlineStr">
        <is>
          <t>阿维尼翁大学
Avignon Université</t>
        </is>
      </c>
      <c r="B694" t="inlineStr">
        <is>
          <t>法国</t>
        </is>
      </c>
      <c r="C694" t="inlineStr">
        <is>
          <t>阿维尼翁</t>
        </is>
      </c>
      <c r="D694" t="inlineStr">
        <is>
          <t>高校</t>
        </is>
      </c>
      <c r="E694" t="inlineStr">
        <is>
          <t>戏剧文化</t>
        </is>
      </c>
      <c r="F694" t="inlineStr">
        <is>
          <t>路易·巴斯德街74号
84029 阿维尼翁 cedex 1</t>
        </is>
      </c>
      <c r="G694" s="2" t="str">
        <f>=HYPERLINK("https://univ-avignon.fr/", "https://univ-avignon.fr/")</f>
        <v>https://univ-avignon.fr/</v>
      </c>
      <c r="H694" t="inlineStr">
        <is>
          <t>法国公立综合性大学，依托阿维尼翁戏剧节，开设戏剧研究、文化遗产、文化传播、表演艺术等强势专业；本科 — 博士完整体系，与当地剧院、艺术节深度合作，课程常结合教皇宫等古迹现场教学。</t>
        </is>
      </c>
      <c r="I694"/>
      <c r="J694" t="inlineStr">
        <is>
          <t>文化之家和校园生活</t>
        </is>
      </c>
      <c r="K694"/>
      <c r="L694" s="2" t="str">
        <f>=HYPERLINK("mailto:mission-culture@univ-avignon.fr", "mission-culture@univ-avignon.fr")</f>
        <v>mission-culture@univ-avignon.fr</v>
      </c>
      <c r="M694" t="inlineStr">
        <is>
          <t>+33 (0)4 90 16 25 55</t>
        </is>
      </c>
      <c r="N694" s="3">
        <v>46100</v>
      </c>
      <c r="O694" t="inlineStr">
        <is>
          <t>已联系已回复</t>
        </is>
      </c>
      <c r="P694" t="inlineStr">
        <is>
          <t>已经把我们的请求转发给文化与校园生活部门</t>
        </is>
      </c>
      <c r="Q694" t="inlineStr">
        <is>
          <t>法国阿维尼翁剧团宣发+宿舍等</t>
        </is>
      </c>
      <c r="R694"/>
      <c r="S694"/>
      <c r="T694"/>
    </row>
    <row r="695" ht="25.5" customHeight="1">
      <c r="A695" t="inlineStr">
        <is>
          <t>阿维尼翁地区音乐舞蹈学院
Conservatoire à Rayonnement Régional d’Avignon</t>
        </is>
      </c>
      <c r="B695" t="inlineStr">
        <is>
          <t>法国</t>
        </is>
      </c>
      <c r="C695" t="inlineStr">
        <is>
          <t>阿维尼翁</t>
        </is>
      </c>
      <c r="D695" t="inlineStr">
        <is>
          <t>高校</t>
        </is>
      </c>
      <c r="E695" t="inlineStr">
        <is>
          <t>戏剧文化</t>
        </is>
      </c>
      <c r="F695" t="inlineStr">
        <is>
          <t>勒克莱尔将军街1-3号，阿维尼翁，84000</t>
        </is>
      </c>
      <c r="G695" s="2" t="str">
        <f>=HYPERLINK("https://conservatoiregrandavignon.com/", "https://conservatoiregrandavignon.com/")</f>
        <v>https://conservatoiregrandavignon.com/</v>
      </c>
      <c r="H695" t="inlineStr">
        <is>
          <t>阿维尼翁大区公立音乐舞蹈戏剧学院，以作曲家奥利维埃・梅西安命名；开设音乐、舞蹈、戏剧表演三大方向，面向青少年与成人，是当地戏剧人才培养的重要基地。</t>
        </is>
      </c>
      <c r="I695"/>
      <c r="J695"/>
      <c r="K695"/>
      <c r="L695" s="2" t="str">
        <f>=HYPERLINK("mailto:conservatoire@grandavignon.fr", "conservatoire@grandavignon.fr")</f>
        <v>conservatoire@grandavignon.fr</v>
      </c>
      <c r="M695" t="inlineStr">
        <is>
          <t>04 32 73 04 80</t>
        </is>
      </c>
      <c r="N695" s="3">
        <v>46100</v>
      </c>
      <c r="O695" t="inlineStr">
        <is>
          <t>已联系未回复</t>
        </is>
      </c>
      <c r="P695"/>
      <c r="Q695" t="inlineStr">
        <is>
          <t>法国阿维尼翁剧团宣发+宿舍等</t>
        </is>
      </c>
      <c r="R695"/>
      <c r="S695"/>
      <c r="T695"/>
    </row>
    <row r="696" ht="25.5" customHeight="1">
      <c r="A696" t="inlineStr">
        <is>
          <t>雅克・勒考克国际戏剧学校
École Internationale de Théâtre Jacques Lecoq</t>
        </is>
      </c>
      <c r="B696" t="inlineStr">
        <is>
          <t>法国</t>
        </is>
      </c>
      <c r="C696" t="inlineStr">
        <is>
          <t>阿维尼翁</t>
        </is>
      </c>
      <c r="D696" t="inlineStr">
        <is>
          <t>高校</t>
        </is>
      </c>
      <c r="E696" t="inlineStr">
        <is>
          <t>戏剧文化</t>
        </is>
      </c>
      <c r="F696" t="inlineStr">
        <is>
          <t>卡雷特里街116号，阿维尼翁，84000</t>
        </is>
      </c>
      <c r="G696" s="2" t="str">
        <f>=HYPERLINK("https://www.ecole-jacqueslecoq.com/", "https://www.ecole-jacqueslecoq.com/")</f>
        <v>https://www.ecole-jacqueslecoq.com/</v>
      </c>
      <c r="H696" t="inlineStr">
        <is>
          <t>全球顶尖形体戏剧院校，2023 年从巴黎迁至阿维尼翁；以 “动态 mime” 教学体系闻名，提供 2 年制专业戏剧课程，侧重身体表达、空间运用与集体创作，深度融入阿维尼翁戏剧节生态。</t>
        </is>
      </c>
      <c r="I696"/>
      <c r="J696"/>
      <c r="K696"/>
      <c r="L696" s="2" t="str">
        <f>=HYPERLINK("mailto:contact@ecole-jacqueslecoq.com", "contact@ecole-jacqueslecoq.com")</f>
        <v>contact@ecole-jacqueslecoq.com</v>
      </c>
      <c r="M696" t="inlineStr">
        <is>
          <t>+33 1 47 70 44 78</t>
        </is>
      </c>
      <c r="N696" s="3">
        <v>46100</v>
      </c>
      <c r="O696" t="inlineStr">
        <is>
          <t>已联系未回复</t>
        </is>
      </c>
      <c r="P696"/>
      <c r="Q696" t="inlineStr">
        <is>
          <t>法国阿维尼翁剧团宣发+宿舍等</t>
        </is>
      </c>
      <c r="R696"/>
      <c r="S696"/>
      <c r="T696"/>
    </row>
    <row r="697" ht="25.5" customHeight="1">
      <c r="A697" t="inlineStr">
        <is>
          <t>法国高等舞台技术学院
ISTS, Institut Supérieur des Techniques du Spectacle</t>
        </is>
      </c>
      <c r="B697" t="inlineStr">
        <is>
          <t>法国</t>
        </is>
      </c>
      <c r="C697" t="inlineStr">
        <is>
          <t>阿维尼翁</t>
        </is>
      </c>
      <c r="D697" t="inlineStr">
        <is>
          <t>高校</t>
        </is>
      </c>
      <c r="E697" t="inlineStr">
        <is>
          <t>戏剧文化</t>
        </is>
      </c>
      <c r="F697" t="inlineStr">
        <is>
          <t>圣路易空间，波卡耶门街20号，阿维尼翁，84000</t>
        </is>
      </c>
      <c r="G697" s="2" t="str">
        <f>=HYPERLINK("https://www.ists-avignon.com/", "https://www.ists-avignon.com/")</f>
        <v>https://www.ists-avignon.com/</v>
      </c>
      <c r="H697" t="inlineStr">
        <is>
          <t>986 年在阿维尼翁创立，戏剧节官方关联院校；专注舞台灯光、音响、舞美、演出管理职业教育，管理本笃十二世剧院等场地，学生可直接参与戏剧节技术实操。</t>
        </is>
      </c>
      <c r="I697" t="inlineStr">
        <is>
          <t>Mr.Fabrice GERBER</t>
        </is>
      </c>
      <c r="J697" t="inlineStr">
        <is>
          <t>副学术主任</t>
        </is>
      </c>
      <c r="K697"/>
      <c r="L697" s="2" t="str">
        <f>=HYPERLINK("mailto:fabrice.gerber@ists-avignon.com", "fabrice.gerber@ists-avignon.com")</f>
        <v>fabrice.gerber@ists-avignon.com</v>
      </c>
      <c r="M697" t="inlineStr">
        <is>
          <t>+33 (0)4 90 14 14 17</t>
        </is>
      </c>
      <c r="N697" s="3">
        <v>46100</v>
      </c>
      <c r="O697" t="inlineStr">
        <is>
          <t>已联系未回复</t>
        </is>
      </c>
      <c r="P697"/>
      <c r="Q697" t="inlineStr">
        <is>
          <t>法国阿维尼翁剧团宣发+宿舍等</t>
        </is>
      </c>
      <c r="R697"/>
      <c r="S697"/>
      <c r="T697"/>
    </row>
    <row r="698" ht="25.5" customHeight="1">
      <c r="A698" t="inlineStr">
        <is>
          <t>Actéon 戏剧高等学院
École de Théâtre Actéon</t>
        </is>
      </c>
      <c r="B698" t="inlineStr">
        <is>
          <t>法国</t>
        </is>
      </c>
      <c r="C698" t="inlineStr">
        <is>
          <t>阿维尼翁</t>
        </is>
      </c>
      <c r="D698" t="inlineStr">
        <is>
          <t>高校</t>
        </is>
      </c>
      <c r="E698" t="inlineStr">
        <is>
          <t>戏剧文化</t>
        </is>
      </c>
      <c r="F698" t="inlineStr">
        <is>
          <t>拉斯帕伊大道11号，阿维尼翁，法国，84000</t>
        </is>
      </c>
      <c r="G698" s="2" t="str">
        <f>=HYPERLINK("https://ecole-acteon.fr/", "https://ecole-acteon.fr/")</f>
        <v>https://ecole-acteon.fr/</v>
      </c>
      <c r="H698" t="inlineStr">
        <is>
          <t>阿维尼翁本土专业戏剧院校，3 年制职业演员培养；融合斯坦纳戏剧、小丑、默剧、面具、戏剧写作等模块，每学期组织公开演出，学生参与当地文化活动。</t>
        </is>
      </c>
      <c r="I698"/>
      <c r="J698"/>
      <c r="K698"/>
      <c r="L698" s="2" t="str">
        <f>=HYPERLINK("mailto:contact@correspondance.xyz", "contact@correspondance.xyz")</f>
        <v>contact@correspondance.xyz</v>
      </c>
      <c r="M698"/>
      <c r="N698" s="3">
        <v>46100</v>
      </c>
      <c r="O698" t="inlineStr">
        <is>
          <t>已联系未回复</t>
        </is>
      </c>
      <c r="P698"/>
      <c r="Q698" t="inlineStr">
        <is>
          <t>法国阿维尼翁剧团宣发+宿舍等</t>
        </is>
      </c>
      <c r="R698"/>
      <c r="S698"/>
      <c r="T698"/>
    </row>
    <row r="699" ht="25.5" customHeight="1">
      <c r="A699" t="inlineStr">
        <is>
          <t>阿维尼翁艺术舞台学院（AICOM 旗下戏剧院校）
L’ArtScène Avignon</t>
        </is>
      </c>
      <c r="B699" t="inlineStr">
        <is>
          <t>法国</t>
        </is>
      </c>
      <c r="C699" t="inlineStr">
        <is>
          <t>阿维尼翁</t>
        </is>
      </c>
      <c r="D699" t="inlineStr">
        <is>
          <t>高校</t>
        </is>
      </c>
      <c r="E699" t="inlineStr">
        <is>
          <t>戏剧文化</t>
        </is>
      </c>
      <c r="F699" t="inlineStr">
        <is>
          <t>阿维尼翁圣米歇尔大道26号，邮编84000</t>
        </is>
      </c>
      <c r="G699" s="2" t="str">
        <f>=HYPERLINK("https://groupe-aicom.fr/campus/avignon", "https://groupe-aicom.fr/campus/avignon")</f>
        <v>https://groupe-aicom.fr/campus/avignon</v>
      </c>
      <c r="H699" t="inlineStr">
        <is>
          <t>2024 年落地阿维尼翁的专业戏剧院校，开设音乐剧、戏剧表演、创作与表演职业课程，面向 15 岁以上成人与青少年，侧重舞台实践与演出。</t>
        </is>
      </c>
      <c r="I699"/>
      <c r="J699"/>
      <c r="K699"/>
      <c r="L699" s="2" t="str">
        <f>=HYPERLINK("mailto:contact@groupe-aicom.fr", "contact@groupe-aicom.fr")</f>
        <v>contact@groupe-aicom.fr</v>
      </c>
      <c r="M699" t="inlineStr">
        <is>
          <t>+331 45 23 52 69</t>
        </is>
      </c>
      <c r="N699" s="3">
        <v>46100</v>
      </c>
      <c r="O699" t="inlineStr">
        <is>
          <t>已联系未回复</t>
        </is>
      </c>
      <c r="P699"/>
      <c r="Q699" t="inlineStr">
        <is>
          <t>法国阿维尼翁剧团宣发+宿舍等</t>
        </is>
      </c>
      <c r="R699"/>
      <c r="S699"/>
      <c r="T699"/>
    </row>
    <row r="700" ht="25.5" customHeight="1">
      <c r="A700" t="inlineStr">
        <is>
          <t>阿维尼翁高等艺术学院
École Supérieure d'Art d'Avignon”</t>
        </is>
      </c>
      <c r="B700" t="inlineStr">
        <is>
          <t>法国</t>
        </is>
      </c>
      <c r="C700" t="inlineStr">
        <is>
          <t>阿维尼翁</t>
        </is>
      </c>
      <c r="D700" t="inlineStr">
        <is>
          <t>高校</t>
        </is>
      </c>
      <c r="E700" t="inlineStr">
        <is>
          <t>戏剧文化</t>
        </is>
      </c>
      <c r="F700" t="inlineStr">
        <is>
          <t>拜涅皮耶小径500号，阿维尼翁，法国，84000</t>
        </is>
      </c>
      <c r="G700" s="2" t="str">
        <f>=HYPERLINK("https://esaavignon.eu/", "https://esaavignon.eu/")</f>
        <v>https://esaavignon.eu/</v>
      </c>
      <c r="H700" t="inlineStr">
        <is>
          <t>阿维尼翁高等艺术学院（École Supérieure d'Art d'Avignon）是法国一所公立高等艺术学府，位于历史文化名城阿维尼翁。得益于阿维尼翁浓厚的戏剧与艺术氛围，学院注重理论与实践结合，强调学生在创作中的个人研究与批判精神。</t>
        </is>
      </c>
      <c r="I700"/>
      <c r="J700"/>
      <c r="K700"/>
      <c r="L700" s="2" t="str">
        <f>=HYPERLINK("mailto:communication@esaavignon.fr", "communication@esaavignon.fr")</f>
        <v>communication@esaavignon.fr</v>
      </c>
      <c r="M700" t="inlineStr">
        <is>
          <t>+33 4 90 27 04 23</t>
        </is>
      </c>
      <c r="N700" s="3">
        <v>46100</v>
      </c>
      <c r="O700" t="inlineStr">
        <is>
          <t>已联系未回复</t>
        </is>
      </c>
      <c r="P700"/>
      <c r="Q700" t="inlineStr">
        <is>
          <t>法国阿维尼翁剧团宣发+宿舍等</t>
        </is>
      </c>
      <c r="R700"/>
      <c r="S700"/>
      <c r="T700"/>
    </row>
    <row r="701" ht="25.5" customHeight="1">
      <c r="A701" t="inlineStr">
        <is>
          <t>阿维尼翁学生社团联合会
Inter'asso Avignon</t>
        </is>
      </c>
      <c r="B701" t="inlineStr">
        <is>
          <t>法国</t>
        </is>
      </c>
      <c r="C701" t="inlineStr">
        <is>
          <t>阿维尼翁</t>
        </is>
      </c>
      <c r="D701" t="inlineStr">
        <is>
          <t>协会</t>
        </is>
      </c>
      <c r="E701" t="inlineStr">
        <is>
          <t>戏剧文化</t>
        </is>
      </c>
      <c r="F701" t="inlineStr">
        <is>
          <t>路易·巴斯德街74号
阿维尼翁，84029</t>
        </is>
      </c>
      <c r="G701" s="2" t="str">
        <f>=HYPERLINK("https://www.facebook.com/interassoavignon", "https://www.facebook.com/interassoavignon")</f>
        <v>https://www.facebook.com/interassoavignon</v>
      </c>
      <c r="H701" t="inlineStr">
        <is>
          <t>Inter'asso Avignon 是法国阿维尼翁地区的一个跨协会学生联合会或社团间联盟。该组织通常作为当地各学生社团、文化协会及学术组织的联络与协调平台，旨在促进不同团体之间的合作与资源共享。</t>
        </is>
      </c>
      <c r="I701"/>
      <c r="J701"/>
      <c r="K701"/>
      <c r="L701" s="2" t="str">
        <f>=HYPERLINK("mailto:contact@interasso-avignon.fr", "contact@interasso-avignon.fr")</f>
        <v>contact@interasso-avignon.fr</v>
      </c>
      <c r="M701" t="inlineStr">
        <is>
          <t>+33 6 51 92 79 03</t>
        </is>
      </c>
      <c r="N701" s="3">
        <v>46100</v>
      </c>
      <c r="O701" t="inlineStr">
        <is>
          <t>已联系未回复</t>
        </is>
      </c>
      <c r="P701"/>
      <c r="Q701" t="inlineStr">
        <is>
          <t>法国阿维尼翁剧团宣发+宿舍等</t>
        </is>
      </c>
      <c r="R701"/>
      <c r="S701"/>
      <c r="T701"/>
    </row>
    <row r="702" ht="25.5" customHeight="1">
      <c r="A702" t="inlineStr">
        <is>
          <t>国立巴黎高等戏剧艺术学院
Conservatoire National Supérieur d'Art Dramatique - PSL</t>
        </is>
      </c>
      <c r="B702" t="inlineStr">
        <is>
          <t>法国</t>
        </is>
      </c>
      <c r="C702" t="inlineStr">
        <is>
          <t>巴黎</t>
        </is>
      </c>
      <c r="D702" t="inlineStr">
        <is>
          <t>高校</t>
        </is>
      </c>
      <c r="E702" t="inlineStr">
        <is>
          <t>戏剧文化</t>
        </is>
      </c>
      <c r="F702" t="inlineStr">
        <is>
          <t>2 bis, 音乐学院街
巴黎， 75009</t>
        </is>
      </c>
      <c r="G702" s="2" t="str">
        <f>=HYPERLINK("https://cnsad.psl.eu/", "https://cnsad.psl.eu/")</f>
        <v>https://cnsad.psl.eu/</v>
      </c>
      <c r="H702" t="inlineStr">
        <is>
          <t>1784 年创办，法国文化部直属、隶属巴黎文理研究大学（PSL），欧洲最古老表演院校之一。专注三年制演员培养，录取率仅 2%-3%，每届约 30 人，课程覆盖表演、歌唱、舞蹈、戏剧史等，授予国家级表演专业文凭（DNSPC），校友含伊莎贝尔・于佩尔、让 - 保罗・贝尔蒙多等。</t>
        </is>
      </c>
      <c r="I702"/>
      <c r="J702"/>
      <c r="K702"/>
      <c r="L702" s="2" t="str">
        <f>=HYPERLINK("mailto:relations.publiques@cnsad.psl.eu", "relations.publiques@cnsad.psl.eu")</f>
        <v>relations.publiques@cnsad.psl.eu</v>
      </c>
      <c r="M702" t="inlineStr">
        <is>
          <t>01 42 46 12 91</t>
        </is>
      </c>
      <c r="N702" s="3">
        <v>46100</v>
      </c>
      <c r="O702" t="inlineStr">
        <is>
          <t>已联系未回复</t>
        </is>
      </c>
      <c r="P702"/>
      <c r="Q702" t="inlineStr">
        <is>
          <t>法国阿维尼翁剧团宣发+宿舍等</t>
        </is>
      </c>
      <c r="R702"/>
      <c r="S702"/>
      <c r="T702"/>
    </row>
    <row r="703" ht="25.5" customHeight="1">
      <c r="A703" t="inlineStr">
        <is>
          <t>弗洛朗戏剧学院
Cours Florent</t>
        </is>
      </c>
      <c r="B703" t="inlineStr">
        <is>
          <t>法国</t>
        </is>
      </c>
      <c r="C703" t="inlineStr">
        <is>
          <t>巴黎</t>
        </is>
      </c>
      <c r="D703" t="inlineStr">
        <is>
          <t>高校</t>
        </is>
      </c>
      <c r="E703" t="inlineStr">
        <is>
          <t>戏剧文化</t>
        </is>
      </c>
      <c r="F703" t="inlineStr">
        <is>
          <t>让·饶勒斯大道 37/39号
巴黎， 法国 (邮编：75019)</t>
        </is>
      </c>
      <c r="G703" s="2" t="str">
        <f>=HYPERLINK("https://www.coursflorent.fr/", "https://www.coursflorent.fr/")</f>
        <v>https://www.coursflorent.fr/</v>
      </c>
      <c r="H703" t="inlineStr">
        <is>
          <t>1967 年成立的欧洲顶尖私立戏剧院校，巴黎、蒙彼利埃设校区，开设表演、编剧、导演、影视制作等专业，与纽约斯特拉・阿德勒工作室、莫斯科艺术剧院学校合作，校友包括伊莎贝尔・阿佳妮、奥黛丽・塔图等。</t>
        </is>
      </c>
      <c r="I703"/>
      <c r="J703"/>
      <c r="K703"/>
      <c r="L703" s="2" t="str">
        <f>=HYPERLINK("mailto:contact@coursflorent.fr", "contact@coursflorent.fr")</f>
        <v>contact@coursflorent.fr</v>
      </c>
      <c r="M703" t="inlineStr">
        <is>
          <t>+33 1 40 40 04 44</t>
        </is>
      </c>
      <c r="N703" s="3">
        <v>46100</v>
      </c>
      <c r="O703" t="inlineStr">
        <is>
          <t>已联系未回复</t>
        </is>
      </c>
      <c r="P703"/>
      <c r="Q703" t="inlineStr">
        <is>
          <t>法国阿维尼翁剧团宣发+宿舍等</t>
        </is>
      </c>
      <c r="R703"/>
      <c r="S703"/>
      <c r="T703"/>
    </row>
    <row r="704" ht="25.5" customHeight="1">
      <c r="A704" t="inlineStr">
        <is>
          <t>国立高等戏剧艺术与技术学院
École Nationale Supérieure des Arts et Techniques du Théâtre</t>
        </is>
      </c>
      <c r="B704" t="inlineStr">
        <is>
          <t>法国</t>
        </is>
      </c>
      <c r="C704" t="inlineStr">
        <is>
          <t>巴黎</t>
        </is>
      </c>
      <c r="D704" t="inlineStr">
        <is>
          <t>高校</t>
        </is>
      </c>
      <c r="E704" t="inlineStr">
        <is>
          <t>戏剧文化</t>
        </is>
      </c>
      <c r="F704" t="inlineStr">
        <is>
          <t>修女布维耶街 4号
里昂， 69005</t>
        </is>
      </c>
      <c r="G704" s="2" t="str">
        <f>=HYPERLINK("https://www.ensatt.fr/", "https://www.ensatt.fr/")</f>
        <v>https://www.ensatt.fr/</v>
      </c>
      <c r="H704" t="inlineStr">
        <is>
          <t>欧洲唯一覆盖全戏剧创作领域的公立院校，开设演员、舞台管理、灯光 / 音响设计、服装、编剧、导演、舞美等 10 大方向，每年约 200 名全日制学生，以项目制教学为核心，与里昂二大、里昂国立音乐舞蹈学院深度合作。</t>
        </is>
      </c>
      <c r="I704"/>
      <c r="J704"/>
      <c r="K704"/>
      <c r="L704" s="2" t="str">
        <f>=HYPERLINK("mailto:communication@ensatt.fr", "communication@ensatt.fr")</f>
        <v>communication@ensatt.fr</v>
      </c>
      <c r="M704" t="inlineStr">
        <is>
          <t>04.78.15.05.05</t>
        </is>
      </c>
      <c r="N704" s="3">
        <v>46100</v>
      </c>
      <c r="O704" t="inlineStr">
        <is>
          <t>已联系未回复</t>
        </is>
      </c>
      <c r="P704"/>
      <c r="Q704" t="inlineStr">
        <is>
          <t>法国阿维尼翁剧团宣发+宿舍等</t>
        </is>
      </c>
      <c r="R704"/>
      <c r="S704"/>
      <c r="T704"/>
    </row>
    <row r="705" ht="25.5" customHeight="1">
      <c r="A705" t="inlineStr">
        <is>
          <t>法国国际音像学院
3iS - Institut International de l'Image et du Son</t>
        </is>
      </c>
      <c r="B705" t="inlineStr">
        <is>
          <t>法国</t>
        </is>
      </c>
      <c r="C705" t="inlineStr">
        <is>
          <t>波尔多
巴黎
南特
阿维尼翁
里昂</t>
        </is>
      </c>
      <c r="D705" t="inlineStr">
        <is>
          <t>高校</t>
        </is>
      </c>
      <c r="E705" t="inlineStr">
        <is>
          <t>戏剧文化</t>
        </is>
      </c>
      <c r="F705" t="inlineStr">
        <is>
          <t>罗兰德路33号，阿维尼翁校区</t>
        </is>
      </c>
      <c r="G705" s="2" t="str">
        <f>=HYPERLINK("https://3is-education.fr/", "https://3is-education.fr/")</f>
        <v>https://3is-education.fr/</v>
      </c>
      <c r="H705" t="inlineStr">
        <is>
          <t>成立于1988年，是法国顶尖的私立视听学院，在巴黎、波尔多、里昂等地设有校区。学校拥有欧洲最大的视听学专业校区，配备尖端职业设备，是国际影视院校联合会（CILECT）和法国高等教育署（Campus France）的成员。该校由职场专业人士负责教学，与超过1800家行业伙伴合作，毕业生就业率高达80%-90%。开设专业涵盖电影视听、声音、动画、视频游戏、平面设计及创意产业管理等</t>
        </is>
      </c>
      <c r="I705"/>
      <c r="J705"/>
      <c r="K705"/>
      <c r="L705" s="2" t="str">
        <f>=HYPERLINK("mailto:frozet@3is.fr", "frozet@3is.fr")</f>
        <v>frozet@3is.fr</v>
      </c>
      <c r="M705" t="inlineStr">
        <is>
          <t>+33 6 62 90 77 30</t>
        </is>
      </c>
      <c r="N705" s="3">
        <v>46100</v>
      </c>
      <c r="O705" t="inlineStr">
        <is>
          <t>已联系未回复</t>
        </is>
      </c>
      <c r="P705"/>
      <c r="Q705" t="inlineStr">
        <is>
          <t>法国阿维尼翁剧团宣发+宿舍等</t>
        </is>
      </c>
      <c r="R705"/>
      <c r="S705"/>
      <c r="T705"/>
    </row>
    <row r="706" ht="25.5" customHeight="1">
      <c r="A706" t="inlineStr">
        <is>
          <t>阿贝拉蒂奥戏剧与电影学院
École de Théâtre et Cinéma Aberratio</t>
        </is>
      </c>
      <c r="B706" t="inlineStr">
        <is>
          <t>法国</t>
        </is>
      </c>
      <c r="C706" t="inlineStr">
        <is>
          <t>巴黎</t>
        </is>
      </c>
      <c r="D706" t="inlineStr">
        <is>
          <t>高校</t>
        </is>
      </c>
      <c r="E706" t="inlineStr">
        <is>
          <t>戏剧文化</t>
        </is>
      </c>
      <c r="F706" t="inlineStr">
        <is>
          <t>奥尔托街 29号
巴黎， 75020</t>
        </is>
      </c>
      <c r="G706" s="2" t="str">
        <f>=HYPERLINK("https://www.aberratio.fr/", "https://www.aberratio.fr/")</f>
        <v>https://www.aberratio.fr/</v>
      </c>
      <c r="H706" t="inlineStr">
        <is>
          <t>位于巴黎的私立表演艺术学校，由演员伯纳德·宾努（Bernard Binlin）创立。学校专注于电影、戏剧和即兴表演的职业培训，注重舞台实践与镜头前的表演相结合，通过大量实战拍摄和舞台演出训练学生。其专业课程获得法国国家职业文凭目录（RNCP）认证，并对国际学生较为开放。</t>
        </is>
      </c>
      <c r="I706"/>
      <c r="J706"/>
      <c r="K706"/>
      <c r="L706" s="2" t="str">
        <f>=HYPERLINK("mailto:contact@aberratio.fr", "contact@aberratio.fr")</f>
        <v>contact@aberratio.fr</v>
      </c>
      <c r="M706" t="inlineStr">
        <is>
          <t>01 48 58 49 91</t>
        </is>
      </c>
      <c r="N706" s="3">
        <v>46100</v>
      </c>
      <c r="O706" t="inlineStr">
        <is>
          <t>已联系未回复</t>
        </is>
      </c>
      <c r="P706"/>
      <c r="Q706" t="inlineStr">
        <is>
          <t>法国阿维尼翁剧团宣发+宿舍等</t>
        </is>
      </c>
      <c r="R706"/>
      <c r="S706"/>
      <c r="T706"/>
    </row>
    <row r="707" ht="25.5" customHeight="1">
      <c r="A707" t="inlineStr">
        <is>
          <t>国家戏曲艺术学院
Conservatoire National Supérieur d'Art Dramatique - PSL</t>
        </is>
      </c>
      <c r="B707" t="inlineStr">
        <is>
          <t>法国</t>
        </is>
      </c>
      <c r="C707" t="inlineStr">
        <is>
          <t>巴黎</t>
        </is>
      </c>
      <c r="D707" t="inlineStr">
        <is>
          <t>高校</t>
        </is>
      </c>
      <c r="E707" t="inlineStr">
        <is>
          <t>戏剧文化</t>
        </is>
      </c>
      <c r="F707" t="inlineStr">
        <is>
          <t>2 bis, 音乐学院街
巴黎, 法国 (邮编：75009)</t>
        </is>
      </c>
      <c r="G707" s="2" t="str">
        <f>=HYPERLINK("https://archive.cnsad.psl.eu/", "https://archive.cnsad.psl.eu/")</f>
        <v>https://archive.cnsad.psl.eu/</v>
      </c>
      <c r="H707" t="inlineStr">
        <is>
          <t>隶属于法国文化部，是法国最负盛名的公立戏剧学院之一，也是巴黎文理研究大学（PSL）的成员院校。学院始建于1784年，坐落于巴黎第九区剧院区，拥有超过两个世纪的悠久历史。该校实行精英化小班教学，专注于演员培养，每年仅招收约30名学生。学制三年，毕业后可获得国家高等职业演员文凭（DNSPC）。其教师均为业内认可的职业艺术家。</t>
        </is>
      </c>
      <c r="I707" t="inlineStr">
        <is>
          <t>Claire Delcroix</t>
        </is>
      </c>
      <c r="J707" t="inlineStr">
        <is>
          <t>秘书长</t>
        </is>
      </c>
      <c r="K707"/>
      <c r="L707" s="2" t="str">
        <f>=HYPERLINK("mailto:claire.delcroix@cnsad.psl.eu", "claire.delcroix@cnsad.psl.eu")</f>
        <v>claire.delcroix@cnsad.psl.eu</v>
      </c>
      <c r="M707" t="inlineStr">
        <is>
          <t>+33 1 42 46 12 91</t>
        </is>
      </c>
      <c r="N707" s="3">
        <v>46100</v>
      </c>
      <c r="O707" t="inlineStr">
        <is>
          <t>已联系未回复</t>
        </is>
      </c>
      <c r="P707"/>
      <c r="Q707" t="inlineStr">
        <is>
          <t>法国阿维尼翁剧团宣发+宿舍等</t>
        </is>
      </c>
      <c r="R707"/>
      <c r="S707"/>
      <c r="T707"/>
    </row>
    <row r="708" ht="25.5" customHeight="1">
      <c r="A708" t="inlineStr">
        <is>
          <t>巴黎戏剧学院 L'Eponyme
École de Théâtre L'Eponyme（Paris）</t>
        </is>
      </c>
      <c r="B708" t="inlineStr">
        <is>
          <t>法国</t>
        </is>
      </c>
      <c r="C708" t="inlineStr">
        <is>
          <t>巴黎</t>
        </is>
      </c>
      <c r="D708" t="inlineStr">
        <is>
          <t>高校</t>
        </is>
      </c>
      <c r="E708" t="inlineStr">
        <is>
          <t>戏剧文化</t>
        </is>
      </c>
      <c r="F708" t="inlineStr">
        <is>
          <t>2 bispass 小巷
巴黎， 75018</t>
        </is>
      </c>
      <c r="G708" s="2" t="str">
        <f>=HYPERLINK("https://www.leponyme.fr/", "https://www.leponyme.fr/")</f>
        <v>https://www.leponyme.fr/</v>
      </c>
      <c r="H708" t="inlineStr">
        <is>
          <t>位于巴黎的一所私立戏剧学校，提供专业的戏剧表演培训。</t>
        </is>
      </c>
      <c r="I708"/>
      <c r="J708"/>
      <c r="K708"/>
      <c r="L708" s="2" t="str">
        <f>=HYPERLINK("mailto:leponyme@leponyme.fr", "leponyme@leponyme.fr")</f>
        <v>leponyme@leponyme.fr</v>
      </c>
      <c r="M708" t="inlineStr">
        <is>
          <t>01 43 43 05 51</t>
        </is>
      </c>
      <c r="N708" s="3">
        <v>46100</v>
      </c>
      <c r="O708" t="inlineStr">
        <is>
          <t>已联系未回复</t>
        </is>
      </c>
      <c r="P708"/>
      <c r="Q708" t="inlineStr">
        <is>
          <t>法国阿维尼翁剧团宣发+宿舍等</t>
        </is>
      </c>
      <c r="R708"/>
      <c r="S708"/>
      <c r="T708"/>
    </row>
    <row r="709" ht="25.5" customHeight="1">
      <c r="A709" t="inlineStr">
        <is>
          <t>巴黎游戏戏剧学院
L'école du Jeu - École de Théâtre Paris</t>
        </is>
      </c>
      <c r="B709" t="inlineStr">
        <is>
          <t>法国</t>
        </is>
      </c>
      <c r="C709" t="inlineStr">
        <is>
          <t>巴黎</t>
        </is>
      </c>
      <c r="D709" t="inlineStr">
        <is>
          <t>高校</t>
        </is>
      </c>
      <c r="E709" t="inlineStr">
        <is>
          <t>戏剧文化</t>
        </is>
      </c>
      <c r="F709" t="inlineStr">
        <is>
          <t>戈尔德街 36-38号
法国 巴黎 (邮编：75018)</t>
        </is>
      </c>
      <c r="G709" s="2" t="str">
        <f>=HYPERLINK("https://www.ecoledujeu.com/", "https://www.ecoledujeu.com/")</f>
        <v>https://www.ecoledujeu.com/</v>
      </c>
      <c r="H709" t="inlineStr">
        <is>
          <t>巴黎一所专注于戏剧表演的私立学校，其教学理念可能强调表演中的"游戏感"与即兴创作。</t>
        </is>
      </c>
      <c r="I709"/>
      <c r="J709"/>
      <c r="K709"/>
      <c r="L709" s="2" t="str">
        <f>=HYPERLINK("mailto:infos@ecoledujeu.com", "infos@ecoledujeu.com")</f>
        <v>infos@ecoledujeu.com</v>
      </c>
      <c r="M709" t="inlineStr">
        <is>
          <t>+33 142518402</t>
        </is>
      </c>
      <c r="N709" s="3">
        <v>46100</v>
      </c>
      <c r="O709" t="inlineStr">
        <is>
          <t>已联系未回复</t>
        </is>
      </c>
      <c r="P709"/>
      <c r="Q709" t="inlineStr">
        <is>
          <t>法国阿维尼翁剧团宣发+宿舍等</t>
        </is>
      </c>
      <c r="R709"/>
      <c r="S709"/>
      <c r="T709"/>
    </row>
    <row r="710" ht="25.5" customHeight="1">
      <c r="A710" t="inlineStr">
        <is>
          <t>巴黎自由戏剧学校
Le Théâtre Libre</t>
        </is>
      </c>
      <c r="B710" t="inlineStr">
        <is>
          <t>法国</t>
        </is>
      </c>
      <c r="C710" t="inlineStr">
        <is>
          <t>巴黎</t>
        </is>
      </c>
      <c r="D710" t="inlineStr">
        <is>
          <t>高校</t>
        </is>
      </c>
      <c r="E710" t="inlineStr">
        <is>
          <t>戏剧文化</t>
        </is>
      </c>
      <c r="F710" t="inlineStr">
        <is>
          <t>斯特拉斯堡大道 4号
法国 巴黎 (邮编：75010)</t>
        </is>
      </c>
      <c r="G710" s="2" t="str">
        <f>=HYPERLINK("https://le-theatrelibre.fr/", "https://le-theatrelibre.fr/")</f>
        <v>https://le-theatrelibre.fr/</v>
      </c>
      <c r="H710" t="inlineStr">
        <is>
          <t>由安德烈·安托万（André Antoine）于1887年创立的剧院，在戏剧史上具有里程碑意义。作为自然主义戏剧的代表，它推动了欧洲独立戏剧运动的发展，影响了德国、英国和美国的自由舞台建立。如今，它既是剧院，也作为表演艺术的教育场所，位于巴黎十区。</t>
        </is>
      </c>
      <c r="I710"/>
      <c r="J710"/>
      <c r="K710"/>
      <c r="L710" s="2" t="str">
        <f>=HYPERLINK("mailto:billetterie@le-theatrelibre.fr", "billetterie@le-theatrelibre.fr")</f>
        <v>billetterie@le-theatrelibre.fr</v>
      </c>
      <c r="M710" t="inlineStr">
        <is>
          <t>+33 1 42 38 97 14</t>
        </is>
      </c>
      <c r="N710" s="3">
        <v>46100</v>
      </c>
      <c r="O710" t="inlineStr">
        <is>
          <t>已联系未回复</t>
        </is>
      </c>
      <c r="P710"/>
      <c r="Q710" t="inlineStr">
        <is>
          <t>法国阿维尼翁剧团宣发+宿舍等</t>
        </is>
      </c>
      <c r="R710"/>
      <c r="S710"/>
      <c r="T710"/>
    </row>
    <row r="711" ht="25.5" customHeight="1">
      <c r="A711" t="inlineStr">
        <is>
          <t>里昂戏剧学院
École de Théâtre de Lyon</t>
        </is>
      </c>
      <c r="B711" t="inlineStr">
        <is>
          <t>法国</t>
        </is>
      </c>
      <c r="C711" t="inlineStr">
        <is>
          <t>里昂</t>
        </is>
      </c>
      <c r="D711" t="inlineStr">
        <is>
          <t>高校</t>
        </is>
      </c>
      <c r="E711" t="inlineStr">
        <is>
          <t>戏剧文化</t>
        </is>
      </c>
      <c r="F711" t="inlineStr">
        <is>
          <t>沙尔多内广场 1号
里昂， 69001</t>
        </is>
      </c>
      <c r="G711" s="2" t="str">
        <f>=HYPERLINK("https://www.ecoledetheatredelyon.com/", "https://www.ecoledetheatredelyon.com/")</f>
        <v>https://www.ecoledetheatredelyon.com/</v>
      </c>
      <c r="H711" t="inlineStr">
        <is>
          <t>位于里昂的戏剧学校，致力于培养戏剧表演人才。里昂也是法国国立高等艺术与戏剧技术学院（ENSATT）的所在地，该校原在巴黎以"白街学校"著称，后迁至里昂。</t>
        </is>
      </c>
      <c r="I711"/>
      <c r="J711"/>
      <c r="K711"/>
      <c r="L711" s="2" t="str">
        <f>=HYPERLINK("mailto:contact@ecoledetheatredelyon.com", "contact@ecoledetheatredelyon.com")</f>
        <v>contact@ecoledetheatredelyon.com</v>
      </c>
      <c r="M711" t="inlineStr">
        <is>
          <t>+33 4 81 65 15 56</t>
        </is>
      </c>
      <c r="N711" s="3">
        <v>46100</v>
      </c>
      <c r="O711" t="inlineStr">
        <is>
          <t>已联系未回复</t>
        </is>
      </c>
      <c r="P711"/>
      <c r="Q711" t="inlineStr">
        <is>
          <t>法国阿维尼翁剧团宣发+宿舍等</t>
        </is>
      </c>
      <c r="R711"/>
      <c r="S711"/>
      <c r="T711"/>
    </row>
    <row r="712" ht="25.5" customHeight="1">
      <c r="A712" t="inlineStr">
        <is>
          <t>曼彻斯特戏剧学校
Manchester School of Theatre, MMU</t>
        </is>
      </c>
      <c r="B712" t="inlineStr">
        <is>
          <t>法国</t>
        </is>
      </c>
      <c r="C712" t="inlineStr">
        <is>
          <t>曼彻斯特</t>
        </is>
      </c>
      <c r="D712" t="inlineStr">
        <is>
          <t>高校</t>
        </is>
      </c>
      <c r="E712" t="inlineStr">
        <is>
          <t>戏剧文化</t>
        </is>
      </c>
      <c r="F712" t="inlineStr">
        <is>
          <t>卡文迪什街，曼彻斯特，M15 6BR</t>
        </is>
      </c>
      <c r="G712" s="2" t="str">
        <f>=HYPERLINK("https://www.theatre.mmu.ac.uk/", "https://www.theatre.mmu.ac.uk/")</f>
        <v>https://www.theatre.mmu.ac.uk/</v>
      </c>
      <c r="H712" t="inlineStr">
        <is>
          <t>隶属于曼彻斯特城市大学（Manchester Metropolitan University），在国际上享有培养专业演员、戏剧制作人和表演者的声誉。学校与曼彻斯特蓬勃发展的媒体和戏剧界紧密相连，毗邻BBC、HOME、皇家交易所剧院等知名机构。学校拥有180座的专业剧场、大型排练厅等一流设施。其著名校友包括朱莉·沃特斯（Julie Walters CBE）和史蒂夫·库根（Steve Coogan）。</t>
        </is>
      </c>
      <c r="I712"/>
      <c r="J712"/>
      <c r="K712"/>
      <c r="L712" s="2" t="str">
        <f>=HYPERLINK("mailto:creativeandculture@mmu.ac.uk", "creativeandculture@mmu.ac.uk")</f>
        <v>creativeandculture@mmu.ac.uk</v>
      </c>
      <c r="M712" t="inlineStr">
        <is>
          <t>+44 (0)161 247 4625</t>
        </is>
      </c>
      <c r="N712" s="3">
        <v>46100</v>
      </c>
      <c r="O712" t="inlineStr">
        <is>
          <t>已联系未回复</t>
        </is>
      </c>
      <c r="P712"/>
      <c r="Q712" t="inlineStr">
        <is>
          <t>法国阿维尼翁剧团宣发+宿舍等</t>
        </is>
      </c>
      <c r="R712"/>
      <c r="S712"/>
      <c r="T712"/>
    </row>
    <row r="713" ht="25.5" customHeight="1">
      <c r="A713" t="inlineStr">
        <is>
          <t>菲利普・高利耶学校
Ecole Philippe Gaulier</t>
        </is>
      </c>
      <c r="B713" t="inlineStr">
        <is>
          <t>法国</t>
        </is>
      </c>
      <c r="C713" t="inlineStr">
        <is>
          <t>埃唐普</t>
        </is>
      </c>
      <c r="D713" t="inlineStr">
        <is>
          <t>高校</t>
        </is>
      </c>
      <c r="E713" t="inlineStr">
        <is>
          <t>戏剧文化</t>
        </is>
      </c>
      <c r="F713" t="inlineStr">
        <is>
          <t>奥古斯特·小街 3-5号
法国 埃唐普 (邮编：91150)</t>
        </is>
      </c>
      <c r="G713" s="2" t="str">
        <f>=HYPERLINK("https://www.ecolephilippegaulier.com/", "https://www.ecolephilippegaulier.com/")</f>
        <v>https://www.ecolephilippegaulier.com/</v>
      </c>
      <c r="H713" t="inlineStr">
        <is>
          <t>由法国著名小丑大师菲利普·高利耶于1980年创立，现位于巴黎南郊。这是全球最具影响力的戏剧表演学校之一，以独特的"小丑"训练方法闻名。核心理念是"玩"（le jeu），帮助学生找到表演的轻盈与真实。著名校友包括萨莎·拜伦·科恩（《波拉特》主演）、艾玛·汤普森等。</t>
        </is>
      </c>
      <c r="I713"/>
      <c r="J713"/>
      <c r="K713"/>
      <c r="L713" s="2" t="str">
        <f>=HYPERLINK("mailto:ecolepg.office@gmail.com", "ecolepg.office@gmail.com")</f>
        <v>ecolepg.office@gmail.com</v>
      </c>
      <c r="M713" t="inlineStr">
        <is>
          <t>+33 633415861</t>
        </is>
      </c>
      <c r="N713" s="3">
        <v>46100</v>
      </c>
      <c r="O713" t="inlineStr">
        <is>
          <t>已联系未回复</t>
        </is>
      </c>
      <c r="P713"/>
      <c r="Q713" t="inlineStr">
        <is>
          <t>法国阿维尼翁剧团宣发+宿舍等</t>
        </is>
      </c>
      <c r="R713"/>
      <c r="S713"/>
      <c r="T713"/>
    </row>
    <row r="714" ht="25.5" customHeight="1">
      <c r="A714" t="inlineStr">
        <is>
          <t>皇家戏剧艺术学院
Royal Academy of Dramatic Art</t>
        </is>
      </c>
      <c r="B714" t="inlineStr">
        <is>
          <t>英国</t>
        </is>
      </c>
      <c r="C714" t="inlineStr">
        <is>
          <t>伦敦</t>
        </is>
      </c>
      <c r="D714" t="inlineStr">
        <is>
          <t>高校</t>
        </is>
      </c>
      <c r="E714" t="inlineStr">
        <is>
          <t>戏剧文化</t>
        </is>
      </c>
      <c r="F714" t="inlineStr">
        <is>
          <t>英国伦敦高尔街 62-64 号，邮编：WC1E 6ED</t>
        </is>
      </c>
      <c r="G714" s="2" t="str">
        <f>=HYPERLINK("https://www.rada.ac.uk/", "https://www.rada.ac.uk/")</f>
        <v>https://www.rada.ac.uk/</v>
      </c>
      <c r="H714" t="inlineStr">
        <is>
          <t>位于伦敦，是世界最负盛名的戏剧学校之一，培养了无数舞台、电影和电视界的杰出人才。</t>
        </is>
      </c>
      <c r="I714"/>
      <c r="J714"/>
      <c r="K714"/>
      <c r="L714" s="2" t="str">
        <f>=HYPERLINK("mailto:development@rada.ac.uk", "development@rada.ac.uk")</f>
        <v>development@rada.ac.uk</v>
      </c>
      <c r="M714" t="inlineStr">
        <is>
          <t>+44 20 7636 7076</t>
        </is>
      </c>
      <c r="N714" s="3">
        <v>46100</v>
      </c>
      <c r="O714" t="inlineStr">
        <is>
          <t>已联系未回复</t>
        </is>
      </c>
      <c r="P714"/>
      <c r="Q714" t="inlineStr">
        <is>
          <t>法国阿维尼翁剧团宣发+宿舍等</t>
        </is>
      </c>
      <c r="R714"/>
      <c r="S714"/>
      <c r="T714"/>
    </row>
    <row r="715" ht="25.5" customHeight="1">
      <c r="A715" t="inlineStr">
        <is>
          <t>伦敦音乐与戏剧艺术学院
London Academy of Music and Dramatic Art</t>
        </is>
      </c>
      <c r="B715" t="inlineStr">
        <is>
          <t>英国</t>
        </is>
      </c>
      <c r="C715" t="inlineStr">
        <is>
          <t>伦敦</t>
        </is>
      </c>
      <c r="D715" t="inlineStr">
        <is>
          <t>高校</t>
        </is>
      </c>
      <c r="E715" t="inlineStr">
        <is>
          <t>戏剧文化</t>
        </is>
      </c>
      <c r="F715" t="inlineStr">
        <is>
          <t>塔尔加斯路155号
伦敦
W14 9DA</t>
        </is>
      </c>
      <c r="G715" s="2" t="str">
        <f>=HYPERLINK("https://www.lamda.ac.uk/", "https://www.lamda.ac.uk/")</f>
        <v>https://www.lamda.ac.uk/</v>
      </c>
      <c r="H715" t="inlineStr">
        <is>
          <t>英国顶尖的戏剧学院之一，提供专业的演员培训，以其严格的古典戏剧训练而闻名。</t>
        </is>
      </c>
      <c r="I715"/>
      <c r="J715"/>
      <c r="K715"/>
      <c r="L715" s="2" t="str">
        <f>=HYPERLINK("mailto:enquiries@lamda.ac.uk", "enquiries@lamda.ac.uk")</f>
        <v>enquiries@lamda.ac.uk</v>
      </c>
      <c r="M715" t="inlineStr">
        <is>
          <t xml:space="preserve"> [+44] 020 8834 0500</t>
        </is>
      </c>
      <c r="N715" s="3">
        <v>46100</v>
      </c>
      <c r="O715" t="inlineStr">
        <is>
          <t>已联系未回复</t>
        </is>
      </c>
      <c r="P715"/>
      <c r="Q715" t="inlineStr">
        <is>
          <t>法国阿维尼翁剧团宣发+宿舍等</t>
        </is>
      </c>
      <c r="R715"/>
      <c r="S715"/>
      <c r="T715"/>
    </row>
    <row r="716" ht="25.5" customHeight="1">
      <c r="A716" t="inlineStr">
        <is>
          <t>皇家中央演讲与戏剧学院
Royal Central School of Speech and Drama</t>
        </is>
      </c>
      <c r="B716" t="inlineStr">
        <is>
          <t>英国</t>
        </is>
      </c>
      <c r="C716" t="inlineStr">
        <is>
          <t>伦敦</t>
        </is>
      </c>
      <c r="D716" t="inlineStr">
        <is>
          <t>高校</t>
        </is>
      </c>
      <c r="E716" t="inlineStr">
        <is>
          <t>戏剧文化</t>
        </is>
      </c>
      <c r="F716" t="inlineStr">
        <is>
          <t>英国皇家中央演讲与戏剧学院，伊顿大道，伦敦，NW3 3HY，英国</t>
        </is>
      </c>
      <c r="G716" s="2" t="str">
        <f>=HYPERLINK("https://www.cssd.ac.uk/", "https://www.cssd.ac.uk/")</f>
        <v>https://www.cssd.ac.uk/</v>
      </c>
      <c r="H716" t="inlineStr">
        <is>
          <t>伦敦大学的一所组成学院，是英国最全面和专业的戏剧院校之一，提供从本科到博士的多种表演、设计和戏剧研究课程。</t>
        </is>
      </c>
      <c r="I716" t="inlineStr">
        <is>
          <t>Ms.Verna Rhodes</t>
        </is>
      </c>
      <c r="J716" t="inlineStr">
        <is>
          <t>发展总监</t>
        </is>
      </c>
      <c r="K716"/>
      <c r="L716" s="2" t="str">
        <f>=HYPERLINK("mailto:verna.rhodes@cssd.ac.uk", "verna.rhodes@cssd.ac.uk")</f>
        <v>verna.rhodes@cssd.ac.uk</v>
      </c>
      <c r="M716" t="inlineStr">
        <is>
          <t>+44 (0)20 7722 8183</t>
        </is>
      </c>
      <c r="N716" s="3">
        <v>46100</v>
      </c>
      <c r="O716" t="inlineStr">
        <is>
          <t>已联系未回复</t>
        </is>
      </c>
      <c r="P716"/>
      <c r="Q716" t="inlineStr">
        <is>
          <t>法国阿维尼翁剧团宣发+宿舍等</t>
        </is>
      </c>
      <c r="R716"/>
      <c r="S716"/>
      <c r="T716"/>
    </row>
    <row r="717" ht="25.5" customHeight="1">
      <c r="A717" t="inlineStr">
        <is>
          <t>吉尔德霍尔音乐与戏剧学院
Guildhall School of Music &amp; Drama</t>
        </is>
      </c>
      <c r="B717" t="inlineStr">
        <is>
          <t>英国</t>
        </is>
      </c>
      <c r="C717" t="inlineStr">
        <is>
          <t>伦敦</t>
        </is>
      </c>
      <c r="D717" t="inlineStr">
        <is>
          <t>高校</t>
        </is>
      </c>
      <c r="E717" t="inlineStr">
        <is>
          <t>戏剧文化</t>
        </is>
      </c>
      <c r="F717" t="inlineStr">
        <is>
          <t>市政厅音乐戏剧学院
丝绸街巴比肯
伦敦 EC2Y 8DT</t>
        </is>
      </c>
      <c r="G717" s="2" t="str">
        <f>=HYPERLINK("https://www.gsmd.ac.uk/", "https://www.gsmd.ac.uk/")</f>
        <v>https://www.gsmd.ac.uk/</v>
      </c>
      <c r="H717" t="inlineStr">
        <is>
          <t>伦敦的一流音乐与戏剧学院，提供高水平的表演、制作等专业培训，与伦敦巴比肯艺术中心紧密合作。</t>
        </is>
      </c>
      <c r="I717"/>
      <c r="J717" t="inlineStr">
        <is>
          <t>戏剧系</t>
        </is>
      </c>
      <c r="K717"/>
      <c r="L717" s="2" t="str">
        <f>=HYPERLINK("mailto:drama@gsmd.ac.uk", "drama@gsmd.ac.uk")</f>
        <v>drama@gsmd.ac.uk</v>
      </c>
      <c r="M717" t="inlineStr">
        <is>
          <t>+44 (0)20 7628 2571</t>
        </is>
      </c>
      <c r="N717" s="3">
        <v>46100</v>
      </c>
      <c r="O717" t="inlineStr">
        <is>
          <t>已联系未回复</t>
        </is>
      </c>
      <c r="P717"/>
      <c r="Q717" t="inlineStr">
        <is>
          <t>法国阿维尼翁剧团宣发+宿舍等</t>
        </is>
      </c>
      <c r="R717"/>
      <c r="S717"/>
      <c r="T717"/>
    </row>
    <row r="718" ht="25.5" customHeight="1">
      <c r="A718" t="inlineStr">
        <is>
          <t>伦敦戏剧艺术学院
London School of Dramatic Art</t>
        </is>
      </c>
      <c r="B718" t="inlineStr">
        <is>
          <t>英国</t>
        </is>
      </c>
      <c r="C718" t="inlineStr">
        <is>
          <t>伦敦</t>
        </is>
      </c>
      <c r="D718" t="inlineStr">
        <is>
          <t>高校</t>
        </is>
      </c>
      <c r="E718" t="inlineStr">
        <is>
          <t>戏剧文化</t>
        </is>
      </c>
      <c r="F718" t="inlineStr">
        <is>
          <t>伦敦南 肯辛顿
布特街4号，邮编 ：SW7 3EX</t>
        </is>
      </c>
      <c r="G718" s="2" t="str">
        <f>=HYPERLINK("https://lsda-acting.com/", "https://lsda-acting.com/")</f>
        <v>https://lsda-acting.com/</v>
      </c>
      <c r="H718" t="inlineStr">
        <is>
          <t>位于伦敦的戏剧学校，致力于为学生提供进入戏剧和影视行业的专业表演培训。</t>
        </is>
      </c>
      <c r="I718"/>
      <c r="J718"/>
      <c r="K718"/>
      <c r="L718" s="2" t="str">
        <f>=HYPERLINK("mailto:enquiries@lsda-acting.com", "enquiries@lsda-acting.com")</f>
        <v>enquiries@lsda-acting.com</v>
      </c>
      <c r="M718" t="inlineStr">
        <is>
          <t>0207 581 6100</t>
        </is>
      </c>
      <c r="N718" s="3">
        <v>46100</v>
      </c>
      <c r="O718" t="inlineStr">
        <is>
          <t>已联系未回复</t>
        </is>
      </c>
      <c r="P718"/>
      <c r="Q718" t="inlineStr">
        <is>
          <t>法国阿维尼翁剧团宣发+宿舍等</t>
        </is>
      </c>
      <c r="R718"/>
      <c r="S718"/>
      <c r="T718"/>
    </row>
    <row r="719" ht="25.5" customHeight="1">
      <c r="A719" t="inlineStr">
        <is>
          <t>太阳剧团
Théâtre du Soleil</t>
        </is>
      </c>
      <c r="B719" t="inlineStr">
        <is>
          <t>法国</t>
        </is>
      </c>
      <c r="C719" t="inlineStr">
        <is>
          <t>巴黎</t>
        </is>
      </c>
      <c r="D719" t="inlineStr">
        <is>
          <t>剧团/剧院</t>
        </is>
      </c>
      <c r="E719" t="inlineStr">
        <is>
          <t>戏剧文化</t>
        </is>
      </c>
      <c r="F719" t="inlineStr">
        <is>
          <t>卡图什里，巴黎， 75012</t>
        </is>
      </c>
      <c r="G719" s="2" t="str">
        <f>=HYPERLINK("https://www.theatre-du-soleil.fr/fr/", "https://www.theatre-du-soleil.fr/fr/")</f>
        <v>https://www.theatre-du-soleil.fr/fr/</v>
      </c>
      <c r="H719" t="inlineStr">
        <is>
          <t>法国殿堂级先锋剧团，1964 年创立，以集体创作、跨文化舞台语言与社会关怀著称。作品兼具诗意与力量，常年巡演全球，是法国当代戏剧最具代表性的符号之一。</t>
        </is>
      </c>
      <c r="I719"/>
      <c r="J719"/>
      <c r="K719"/>
      <c r="L719" s="2" t="str">
        <f>=HYPERLINK("mailto:soleil@theatre-du-soleil.fr", "soleil@theatre-du-soleil.fr")</f>
        <v>soleil@theatre-du-soleil.fr</v>
      </c>
      <c r="M719" t="inlineStr">
        <is>
          <t>01 43 74 87 63</t>
        </is>
      </c>
      <c r="N719" s="3">
        <v>46100</v>
      </c>
      <c r="O719" t="inlineStr">
        <is>
          <t>已联系未回复</t>
        </is>
      </c>
      <c r="P719"/>
      <c r="Q719" t="inlineStr">
        <is>
          <t>法国阿维尼翁剧团宣发+宿舍等</t>
        </is>
      </c>
      <c r="R719"/>
      <c r="S719"/>
      <c r="T719"/>
    </row>
    <row r="720" ht="25.5" customHeight="1">
      <c r="A720" t="inlineStr">
        <is>
          <t>横向剧场
Théâtre Transversal</t>
        </is>
      </c>
      <c r="B720" t="inlineStr">
        <is>
          <t>法国</t>
        </is>
      </c>
      <c r="C720" t="inlineStr">
        <is>
          <t>阿维尼翁</t>
        </is>
      </c>
      <c r="D720" t="inlineStr">
        <is>
          <t>剧团/剧院</t>
        </is>
      </c>
      <c r="E720" t="inlineStr">
        <is>
          <t>戏剧文化</t>
        </is>
      </c>
      <c r="F720" t="inlineStr">
        <is>
          <t>安富街 10-12号
阿维尼翁， 84000</t>
        </is>
      </c>
      <c r="G720" s="2" t="str">
        <f>=HYPERLINK("https://theatretransversal.com/", "https://theatretransversal.com/")</f>
        <v>https://theatretransversal.com/</v>
      </c>
      <c r="H720" t="inlineStr">
        <is>
          <t>阿维尼翁核心实验剧场，专注当代戏剧与多元舞台创作，全年开放并承办阿维尼翁 OFF 节剧目。氛围亲切、风格新锐，是本地观众与戏剧爱好者青睐的小剧场地标。</t>
        </is>
      </c>
      <c r="I720"/>
      <c r="J720"/>
      <c r="K720"/>
      <c r="L720" s="2" t="str">
        <f>=HYPERLINK("mailto:contact@theatretransversal.com", "contact@theatretransversal.com")</f>
        <v>contact@theatretransversal.com</v>
      </c>
      <c r="M720" t="inlineStr">
        <is>
          <t>+33 (0)4 90 86 17 12</t>
        </is>
      </c>
      <c r="N720" s="3">
        <v>46100</v>
      </c>
      <c r="O720" t="inlineStr">
        <is>
          <t>已联系未回复</t>
        </is>
      </c>
      <c r="P720"/>
      <c r="Q720" t="inlineStr">
        <is>
          <t>法国阿维尼翁剧团宣发+宿舍等</t>
        </is>
      </c>
      <c r="R720"/>
      <c r="S720"/>
      <c r="T720"/>
    </row>
    <row r="721" ht="25.5" customHeight="1">
      <c r="A721" t="inlineStr">
        <is>
          <t>蓝火车剧院
Théâtre du Train Bleu</t>
        </is>
      </c>
      <c r="B721" t="inlineStr">
        <is>
          <t>法国</t>
        </is>
      </c>
      <c r="C721" t="inlineStr">
        <is>
          <t>阿维尼翁</t>
        </is>
      </c>
      <c r="D721" t="inlineStr">
        <is>
          <t>剧团/剧院</t>
        </is>
      </c>
      <c r="E721" t="inlineStr">
        <is>
          <t>戏剧文化</t>
        </is>
      </c>
      <c r="F721" t="inlineStr">
        <is>
          <t>保罗·塞恩街40号
84000 阿维尼翁</t>
        </is>
      </c>
      <c r="G721" s="2" t="str">
        <f>=HYPERLINK("https://theatredutrainbleu.fr/", "https://theatredutrainbleu.fr/")</f>
        <v>https://theatredutrainbleu.fr/</v>
      </c>
      <c r="H721" t="inlineStr">
        <is>
          <t>阿维尼翁市中心知名常驻剧场，主打当代文本、跨界舞台与青年创作，是阿维尼翁 OFF 节重要场地。节目多元、节奏轻快，深受年轻观众与文艺群体喜爱。</t>
        </is>
      </c>
      <c r="I721"/>
      <c r="J721"/>
      <c r="K721"/>
      <c r="L721" s="2" t="str">
        <f>=HYPERLINK("mailto:contact@theatredutrainbleu.fr", "contact@theatredutrainbleu.fr")</f>
        <v>contact@theatredutrainbleu.fr</v>
      </c>
      <c r="M721" t="inlineStr">
        <is>
          <t>+33 4 90 82 39 06</t>
        </is>
      </c>
      <c r="N721" s="3">
        <v>46100</v>
      </c>
      <c r="O721" t="inlineStr">
        <is>
          <t>已联系未回复</t>
        </is>
      </c>
      <c r="P721"/>
      <c r="Q721" t="inlineStr">
        <is>
          <t>法国阿维尼翁剧团宣发+宿舍等</t>
        </is>
      </c>
      <c r="R721"/>
      <c r="S721"/>
      <c r="T721"/>
    </row>
    <row r="722" ht="25.5" customHeight="1">
      <c r="A722" t="inlineStr">
        <is>
          <t>阳台剧团
Théâtre du Balcon</t>
        </is>
      </c>
      <c r="B722" t="inlineStr">
        <is>
          <t>法国</t>
        </is>
      </c>
      <c r="C722" t="inlineStr">
        <is>
          <t>阿维尼翁</t>
        </is>
      </c>
      <c r="D722" t="inlineStr">
        <is>
          <t>剧团/剧院</t>
        </is>
      </c>
      <c r="E722" t="inlineStr">
        <is>
          <t>戏剧文化</t>
        </is>
      </c>
      <c r="F722" t="inlineStr">
        <is>
          <t>纪尧姆·皮街 38号
法国 阿维尼翁 (邮编：84000)</t>
        </is>
      </c>
      <c r="G722" s="2" t="str">
        <f>=HYPERLINK("https://www.theatredubalcon.org/", "https://www.theatredubalcon.org/")</f>
        <v>https://www.theatredubalcon.org/</v>
      </c>
      <c r="H722" t="inlineStr">
        <is>
          <t>阿维尼翁历史悠久的标志性剧团与剧场，深耕大众戏剧与现实题材创作，坚持亲民、高水准的全年演出。风格温暖有力，是本地居民认可度极高的文化场所。</t>
        </is>
      </c>
      <c r="I722"/>
      <c r="J722"/>
      <c r="K722"/>
      <c r="L722" s="2" t="str">
        <f>=HYPERLINK("mailto:contact@theatredubalcon.org", "contact@theatredubalcon.org")</f>
        <v>contact@theatredubalcon.org</v>
      </c>
      <c r="M722" t="inlineStr">
        <is>
          <t>04 90 85 00 80</t>
        </is>
      </c>
      <c r="N722" s="3">
        <v>46100</v>
      </c>
      <c r="O722" t="inlineStr">
        <is>
          <t>已联系未回复</t>
        </is>
      </c>
      <c r="P722"/>
      <c r="Q722" t="inlineStr">
        <is>
          <t>法国阿维尼翁剧团宣发+宿舍等</t>
        </is>
      </c>
      <c r="R722"/>
      <c r="S722"/>
      <c r="T722"/>
    </row>
    <row r="723" ht="25.5" customHeight="1">
      <c r="A723" t="inlineStr">
        <is>
          <t>拉法布里克剧院
La Fabrik’Théâtre</t>
        </is>
      </c>
      <c r="B723" t="inlineStr">
        <is>
          <t>法国</t>
        </is>
      </c>
      <c r="C723" t="inlineStr">
        <is>
          <t>阿维尼翁</t>
        </is>
      </c>
      <c r="D723" t="inlineStr">
        <is>
          <t>剧团/剧院</t>
        </is>
      </c>
      <c r="E723" t="inlineStr">
        <is>
          <t>戏剧文化</t>
        </is>
      </c>
      <c r="F723" t="inlineStr">
        <is>
          <t>里昂路 法沃巷 70号
法国 阿维尼翁 (邮编：84000)</t>
        </is>
      </c>
      <c r="G723" s="2" t="str">
        <f>=HYPERLINK("https://www.fabriktheatre.fr/", "https://www.fabriktheatre.fr/")</f>
        <v>https://www.fabriktheatre.fr/</v>
      </c>
      <c r="H723" t="inlineStr">
        <is>
          <t>阿维尼翁小众文艺向独立剧场，主打新锐创作、即兴戏剧与亲子剧目，空间轻松自由，氛围独特。适合追求新鲜感与沉浸式体验的观众。</t>
        </is>
      </c>
      <c r="I723"/>
      <c r="J723"/>
      <c r="K723"/>
      <c r="L723" s="2" t="str">
        <f>=HYPERLINK("mailto:contact@fabriktheatre.fr", "contact@fabriktheatre.fr")</f>
        <v>contact@fabriktheatre.fr</v>
      </c>
      <c r="M723" t="inlineStr">
        <is>
          <t>+33 4 90 86 47 81</t>
        </is>
      </c>
      <c r="N723" s="3">
        <v>46100</v>
      </c>
      <c r="O723" t="inlineStr">
        <is>
          <t>已联系未回复</t>
        </is>
      </c>
      <c r="P723"/>
      <c r="Q723" t="inlineStr">
        <is>
          <t>法国阿维尼翁剧团宣发+宿舍等</t>
        </is>
      </c>
      <c r="R723"/>
      <c r="S723"/>
      <c r="T723"/>
    </row>
    <row r="724" ht="25.5" customHeight="1">
      <c r="A724" t="inlineStr">
        <is>
          <t>劳蕾特剧院
Laurette Théâtre</t>
        </is>
      </c>
      <c r="B724" t="inlineStr">
        <is>
          <t>法国</t>
        </is>
      </c>
      <c r="C724" t="inlineStr">
        <is>
          <t>巴黎，阿维尼翁，里昂</t>
        </is>
      </c>
      <c r="D724" t="inlineStr">
        <is>
          <t>剧团/剧院</t>
        </is>
      </c>
      <c r="E724" t="inlineStr">
        <is>
          <t>戏剧文化</t>
        </is>
      </c>
      <c r="F724" t="inlineStr">
        <is>
          <t>普莱桑斯街14号
约瑟夫·韦尔内街16-18号克里隆广场附近84,000 阿维尼翁</t>
        </is>
      </c>
      <c r="G724" s="2" t="str">
        <f>=HYPERLINK("https://en.laurette-theatre.fr/", "https://en.laurette-theatre.fr/")</f>
        <v>https://en.laurette-theatre.fr/</v>
      </c>
      <c r="H724" t="inlineStr">
        <is>
          <t>阿维尼翁与巴黎均有驻场的连锁剧场，以喜剧、轻戏剧、独角戏与亲民节目为主，全年演出不断。位置便利、票价友好，是本地休闲观剧的热门选择。</t>
        </is>
      </c>
      <c r="I724"/>
      <c r="J724"/>
      <c r="K724"/>
      <c r="L724" s="2" t="str">
        <f>=HYPERLINK("mailto:avignon@laurette-theatre.fr", "avignon@laurette-theatre.fr")</f>
        <v>avignon@laurette-theatre.fr</v>
      </c>
      <c r="M724" t="inlineStr">
        <is>
          <t>09 77 48 88 93</t>
        </is>
      </c>
      <c r="N724" s="3">
        <v>46100</v>
      </c>
      <c r="O724" t="inlineStr">
        <is>
          <t>已联系未回复</t>
        </is>
      </c>
      <c r="P724"/>
      <c r="Q724" t="inlineStr">
        <is>
          <t>法国阿维尼翁剧团宣发+宿舍等</t>
        </is>
      </c>
      <c r="R724"/>
      <c r="S724"/>
      <c r="T724"/>
    </row>
    <row r="725" ht="25.5" customHeight="1">
      <c r="A725" t="inlineStr">
        <is>
          <t>黑橡树剧团
Théâtre du Chêne Noir</t>
        </is>
      </c>
      <c r="B725" t="inlineStr">
        <is>
          <t>法国</t>
        </is>
      </c>
      <c r="C725" t="inlineStr">
        <is>
          <t>阿维尼翁</t>
        </is>
      </c>
      <c r="D725" t="inlineStr">
        <is>
          <t>剧团/剧院</t>
        </is>
      </c>
      <c r="E725" t="inlineStr">
        <is>
          <t>戏剧文化</t>
        </is>
      </c>
      <c r="F725" t="inlineStr">
        <is>
          <t>圣凯瑟琳街 8bis号
阿维尼翁</t>
        </is>
      </c>
      <c r="G725" s="2" t="str">
        <f>=HYPERLINK("https://www.chenenoir.fr/", "https://www.chenenoir.fr/")</f>
        <v>https://www.chenenoir.fr/</v>
      </c>
      <c r="H725" t="inlineStr">
        <is>
          <t>阿维尼翁老牌旗舰剧团，1967 年创立，OFF 节创始成员之一，以文本戏剧、肢体剧场与国际联合创作为特色。作品质量稳定，在法国戏剧圈拥有广泛口碑。</t>
        </is>
      </c>
      <c r="I725"/>
      <c r="J725"/>
      <c r="K725"/>
      <c r="L725" s="2" t="str">
        <f>=HYPERLINK("mailto:contact@chenenoir.fr", "contact@chenenoir.fr")</f>
        <v>contact@chenenoir.fr</v>
      </c>
      <c r="M725" t="inlineStr">
        <is>
          <t>+33 4 90 86 74 87</t>
        </is>
      </c>
      <c r="N725" s="3">
        <v>46100</v>
      </c>
      <c r="O725" t="inlineStr">
        <is>
          <t>已联系未回复</t>
        </is>
      </c>
      <c r="P725"/>
      <c r="Q725" t="inlineStr">
        <is>
          <t>法国阿维尼翁剧团宣发+宿舍等</t>
        </is>
      </c>
      <c r="R725"/>
      <c r="S725"/>
      <c r="T725"/>
    </row>
    <row r="726" ht="25.5" customHeight="1">
      <c r="A726" t="inlineStr">
        <is>
          <t>闪电剧团
La Compagnie De L'éclair</t>
        </is>
      </c>
      <c r="B726" t="inlineStr">
        <is>
          <t>法国</t>
        </is>
      </c>
      <c r="C726" t="inlineStr">
        <is>
          <t>马赛</t>
        </is>
      </c>
      <c r="D726" t="inlineStr">
        <is>
          <t>剧团/剧院</t>
        </is>
      </c>
      <c r="E726" t="inlineStr">
        <is>
          <t>戏剧文化</t>
        </is>
      </c>
      <c r="F726" t="inlineStr">
        <is>
          <t>贝特洛街 6号
法国 马赛 (邮编：13014)</t>
        </is>
      </c>
      <c r="G726" s="2" t="str">
        <f>=HYPERLINK("https://www.lacompagniedeleclair.fr/", "https://www.lacompagniedeleclair.fr/")</f>
        <v>https://www.lacompagniedeleclair.fr/</v>
      </c>
      <c r="H726" t="inlineStr">
        <is>
          <t>La Compagnie De L'éclair 是一支扎根法国、风格鲜明的专业戏剧团体，专注当代戏剧、形体表演与原创舞台创作。剧团以轻盈、灵动且富有冲击力的舞台语言为特色，作品兼具诗意与叙事力量，常年在法国各地剧院及艺术节巡演，是深受本土观众喜爱的独立剧团之一。</t>
        </is>
      </c>
      <c r="I726"/>
      <c r="J726"/>
      <c r="K726"/>
      <c r="L726" s="2" t="str">
        <f>=HYPERLINK("mailto:lacompagniedeleclair@synergiefamily.com", "lacompagniedeleclair@synergiefamily.com")</f>
        <v>lacompagniedeleclair@synergiefamily.com</v>
      </c>
      <c r="M726" t="inlineStr">
        <is>
          <t>06 11 09 09 42</t>
        </is>
      </c>
      <c r="N726" s="3">
        <v>46100</v>
      </c>
      <c r="O726" t="inlineStr">
        <is>
          <t>已联系未回复</t>
        </is>
      </c>
      <c r="P726"/>
      <c r="Q726" t="inlineStr">
        <is>
          <t>法国阿维尼翁剧团宣发+宿舍等</t>
        </is>
      </c>
      <c r="R726"/>
      <c r="S726"/>
      <c r="T726"/>
    </row>
    <row r="727" ht="25.5" customHeight="1">
      <c r="A727" t="inlineStr">
        <is>
          <t>巴黎城市剧院
Théâtre de la Ville</t>
        </is>
      </c>
      <c r="B727" t="inlineStr">
        <is>
          <t>法国</t>
        </is>
      </c>
      <c r="C727" t="inlineStr">
        <is>
          <t>巴黎</t>
        </is>
      </c>
      <c r="D727" t="inlineStr">
        <is>
          <t>剧团/剧院</t>
        </is>
      </c>
      <c r="E727" t="inlineStr">
        <is>
          <t>戏剧文化</t>
        </is>
      </c>
      <c r="F727" t="inlineStr">
        <is>
          <t>沙特莱广场 2号
法国 巴黎 (邮编：75004)</t>
        </is>
      </c>
      <c r="G727" s="2" t="str">
        <f>=HYPERLINK("https://www.theatredelaville-paris.com/fr", "https://www.theatredelaville-paris.com/fr")</f>
        <v>https://www.theatredelaville-paris.com/fr</v>
      </c>
      <c r="H727" t="inlineStr">
        <is>
          <t>巴黎公立顶级剧院，汇集国际顶尖戏剧、舞蹈与现场艺术，兼具经典与先锋。场地庄重、节目高端，是巴黎最具影响力的文化地标之一。</t>
        </is>
      </c>
      <c r="I727"/>
      <c r="J727"/>
      <c r="K727"/>
      <c r="L727" s="2" t="str">
        <f>=HYPERLINK("http://在线联系表格：https://www.theatredelaville-paris.com/fr/contacts", "在线联系表格：https://www.theatredelaville-paris.com/fr/contacts")</f>
        <v>在线联系表格：https://www.theatredelaville-paris.com/fr/contacts</v>
      </c>
      <c r="M727" t="inlineStr">
        <is>
          <t>+33 1 42 74 22 77</t>
        </is>
      </c>
      <c r="N727" s="3">
        <v>46100</v>
      </c>
      <c r="O727" t="inlineStr">
        <is>
          <t>已联系未回复</t>
        </is>
      </c>
      <c r="P727"/>
      <c r="Q727" t="inlineStr">
        <is>
          <t>法国阿维尼翁剧团宣发+宿舍等</t>
        </is>
      </c>
      <c r="R727"/>
      <c r="S727"/>
      <c r="T727"/>
    </row>
    <row r="728" ht="25.5" customHeight="1">
      <c r="A728" t="inlineStr">
        <is>
          <t>巴黎西尔维娅・蒙福特剧院
Théâtre Silvia Monfort</t>
        </is>
      </c>
      <c r="B728" t="inlineStr">
        <is>
          <t>法国</t>
        </is>
      </c>
      <c r="C728" t="inlineStr">
        <is>
          <t>巴黎</t>
        </is>
      </c>
      <c r="D728" t="inlineStr">
        <is>
          <t>剧团/剧院</t>
        </is>
      </c>
      <c r="E728" t="inlineStr">
        <is>
          <t>戏剧文化</t>
        </is>
      </c>
      <c r="F728" t="inlineStr">
        <is>
          <t>布朗雄街 106号
巴黎， 75015</t>
        </is>
      </c>
      <c r="G728" s="2" t="str">
        <f>=HYPERLINK("https://theatresilviamonfort.eu/", "https://theatresilviamonfort.eu/")</f>
        <v>https://theatresilviamonfort.eu/</v>
      </c>
      <c r="H728" t="inlineStr">
        <is>
          <t>巴黎十五区重要公立实验剧场，聚焦当代戏剧、形体艺术与新锐导演作品，开放包容、支持多元创作。在巴黎青年文艺圈知名度很高。</t>
        </is>
      </c>
      <c r="I728"/>
      <c r="J728"/>
      <c r="K728"/>
      <c r="L728" s="2" t="str">
        <f>=HYPERLINK("mailto:publics@theatresilviamonfort.eu", "publics@theatresilviamonfort.eu")</f>
        <v>publics@theatresilviamonfort.eu</v>
      </c>
      <c r="M728" t="inlineStr">
        <is>
          <t>+33 1 56 08 33 88</t>
        </is>
      </c>
      <c r="N728" s="3">
        <v>46100</v>
      </c>
      <c r="O728" t="inlineStr">
        <is>
          <t>已联系未回复</t>
        </is>
      </c>
      <c r="P728"/>
      <c r="Q728" t="inlineStr">
        <is>
          <t>法国阿维尼翁剧团宣发+宿舍等</t>
        </is>
      </c>
      <c r="R728"/>
      <c r="S728"/>
      <c r="T728"/>
    </row>
    <row r="729" ht="25.5" customHeight="1">
      <c r="A729" t="inlineStr">
        <is>
          <t>法国惊奇幻想曲剧团
Compagnie Surprise Fantaisie</t>
        </is>
      </c>
      <c r="B729" t="inlineStr">
        <is>
          <t>法国</t>
        </is>
      </c>
      <c r="C729" t="inlineStr">
        <is>
          <t>埃罗</t>
        </is>
      </c>
      <c r="D729" t="inlineStr">
        <is>
          <t>剧团/剧院</t>
        </is>
      </c>
      <c r="E729" t="inlineStr">
        <is>
          <t>戏剧文化</t>
        </is>
      </c>
      <c r="F729" t="inlineStr">
        <is>
          <t>马塞尔·帕拉特街46号
34560 普桑</t>
        </is>
      </c>
      <c r="G729" s="2" t="str">
        <f>=HYPERLINK("https://www.compagnie-surprise.fr/", "https://www.compagnie-surprise.fr/")</f>
        <v>https://www.compagnie-surprise.fr/</v>
      </c>
      <c r="H729" t="inlineStr">
        <is>
          <t>Compagnie Surprise Fantaisie 是一支以奇幻、诗意与视觉剧场为特色的法国剧团，擅长通过形体、音乐与简约舞美打造充满想象力的舞台作品。剧目兼具童趣与艺术性，适合全年龄观众，常在法国各地剧场、文化中心及艺术节演出，风格温暖而富有创意。</t>
        </is>
      </c>
      <c r="I729" t="inlineStr">
        <is>
          <t xml:space="preserve"> Isabelle</t>
        </is>
      </c>
      <c r="J729" t="inlineStr">
        <is>
          <t>行政管理</t>
        </is>
      </c>
      <c r="K729"/>
      <c r="L729" s="2" t="str">
        <f>=HYPERLINK("mailto:administration@compagnie-surprise.fr", "administration@compagnie-surprise.fr")</f>
        <v>administration@compagnie-surprise.fr</v>
      </c>
      <c r="M729" t="inlineStr">
        <is>
          <t>06 09 80 44 89</t>
        </is>
      </c>
      <c r="N729" s="3">
        <v>46100</v>
      </c>
      <c r="O729" t="inlineStr">
        <is>
          <t>已联系未回复</t>
        </is>
      </c>
      <c r="P729"/>
      <c r="Q729" t="inlineStr">
        <is>
          <t>法国阿维尼翁剧团宣发+宿舍等</t>
        </is>
      </c>
      <c r="R729"/>
      <c r="S729"/>
      <c r="T729"/>
    </row>
    <row r="730" ht="25.5" customHeight="1">
      <c r="A730" t="inlineStr">
        <is>
          <t>戏剧出版社
Éditions Théâtrales</t>
        </is>
      </c>
      <c r="B730" t="inlineStr">
        <is>
          <t>法国</t>
        </is>
      </c>
      <c r="C730" t="inlineStr">
        <is>
          <t>临近巴黎</t>
        </is>
      </c>
      <c r="D730" t="inlineStr">
        <is>
          <t>出版社</t>
        </is>
      </c>
      <c r="E730" t="inlineStr">
        <is>
          <t>戏剧文化</t>
        </is>
      </c>
      <c r="F730" t="inlineStr">
        <is>
          <t>巴斯德大道 47号
蒙特勒伊， 93100</t>
        </is>
      </c>
      <c r="G730" s="2" t="str">
        <f>=HYPERLINK("https://www.editionstheatrales.fr/", "https://www.editionstheatrales.fr/")</f>
        <v>https://www.editionstheatrales.fr/</v>
      </c>
      <c r="H730" t="inlineStr">
        <is>
          <t>法国权威专业戏剧出版社，专注当代剧本、戏剧理论与舞台文本出版，为全法剧团与创作者提供核心内容支持，是法国戏剧生态重要机构。</t>
        </is>
      </c>
      <c r="I730" t="inlineStr">
        <is>
          <t>Mathilde Thiou</t>
        </is>
      </c>
      <c r="J730" t="inlineStr">
        <is>
          <t>行政</t>
        </is>
      </c>
      <c r="K730"/>
      <c r="L730" s="2" t="str">
        <f>=HYPERLINK("mailto:administration@editionstheatrales.fr", "administration@editionstheatrales.fr")</f>
        <v>administration@editionstheatrales.fr</v>
      </c>
      <c r="M730" t="inlineStr">
        <is>
          <t>06 11 19 37 86</t>
        </is>
      </c>
      <c r="N730" s="3">
        <v>46100</v>
      </c>
      <c r="O730" t="inlineStr">
        <is>
          <t>已联系已回复</t>
        </is>
      </c>
      <c r="P730" t="inlineStr">
        <is>
          <t>不确定7月是否回前往阿维尼翁，但是相关请求已经记录下来，后面会根据实际情况来看再回复我</t>
        </is>
      </c>
      <c r="Q730" t="inlineStr">
        <is>
          <t>法国阿维尼翁剧团宣发+宿舍等</t>
        </is>
      </c>
      <c r="R730"/>
      <c r="S730"/>
      <c r="T730"/>
    </row>
    <row r="731" ht="25.5" customHeight="1">
      <c r="A731" t="inlineStr">
        <is>
          <t>巴黎北方剧团
Théâtre des Bouffes du Nord</t>
        </is>
      </c>
      <c r="B731" t="inlineStr">
        <is>
          <t>法国</t>
        </is>
      </c>
      <c r="C731" t="inlineStr">
        <is>
          <t>巴黎</t>
        </is>
      </c>
      <c r="D731" t="inlineStr">
        <is>
          <t>剧团/剧院</t>
        </is>
      </c>
      <c r="E731" t="inlineStr">
        <is>
          <t>戏剧文化</t>
        </is>
      </c>
      <c r="F731" t="inlineStr">
        <is>
          <t>拉沙佩勒大道 37bis号
法国 巴黎 (邮编：75010)</t>
        </is>
      </c>
      <c r="G731" s="2" t="str">
        <f>=HYPERLINK("https://www.bouffesdunord.com/#", "https://www.bouffesdunord.com/#")</f>
        <v>https://www.bouffesdunord.com/#</v>
      </c>
      <c r="H731" t="inlineStr">
        <is>
          <t>由戏剧大师彼得・布鲁克创立，巴黎传奇艺术空间，以极简舞台、跨文化创作与高质量剧目闻名。格调高雅、艺术纯粹，吸引全球戏剧爱好者。</t>
        </is>
      </c>
      <c r="I731"/>
      <c r="J731"/>
      <c r="K731"/>
      <c r="L731" s="2" t="str">
        <f>=HYPERLINK("mailto:cict@bouffesdunord.com", "cict@bouffesdunord.com")</f>
        <v>cict@bouffesdunord.com</v>
      </c>
      <c r="M731" t="inlineStr">
        <is>
          <t>+33 1 46 07 34 50</t>
        </is>
      </c>
      <c r="N731" s="3">
        <v>46100</v>
      </c>
      <c r="O731" t="inlineStr">
        <is>
          <t>已联系未回复</t>
        </is>
      </c>
      <c r="P731"/>
      <c r="Q731" t="inlineStr">
        <is>
          <t>法国阿维尼翁剧团宣发+宿舍等</t>
        </is>
      </c>
      <c r="R731"/>
      <c r="S731"/>
      <c r="T731"/>
    </row>
    <row r="732" ht="25.5" customHeight="1">
      <c r="A732" t="inlineStr">
        <is>
          <t>法国柯林国家剧院（Théâtre National de Colline）</t>
        </is>
      </c>
      <c r="B732" t="inlineStr">
        <is>
          <t>法国</t>
        </is>
      </c>
      <c r="C732" t="inlineStr">
        <is>
          <t>巴黎</t>
        </is>
      </c>
      <c r="D732" t="inlineStr">
        <is>
          <t>剧团/剧院</t>
        </is>
      </c>
      <c r="E732" t="inlineStr">
        <is>
          <t>戏剧文化</t>
        </is>
      </c>
      <c r="F732" t="inlineStr">
        <is>
          <t>巴黎20区马尔特-布伦街15号</t>
        </is>
      </c>
      <c r="G732" s="2" t="str">
        <f>=HYPERLINK("https://www.colline.fr/", "https://www.colline.fr/")</f>
        <v>https://www.colline.fr/</v>
      </c>
      <c r="H732" t="inlineStr">
        <is>
          <t>法国五大国家级剧院之一，专注现当代戏剧创作与推广，由法国文化部支持。作品思想性强、制作精良，代表法国官方戏剧最高水准。</t>
        </is>
      </c>
      <c r="I732"/>
      <c r="J732" t="inlineStr">
        <is>
          <t>行政</t>
        </is>
      </c>
      <c r="K732"/>
      <c r="L732" s="2" t="str">
        <f>=HYPERLINK("mailto:contacter-nous@colline.fr", "contacter-nous@colline.fr")</f>
        <v>contacter-nous@colline.fr</v>
      </c>
      <c r="M732" t="inlineStr">
        <is>
          <t>01 44 62 52 00</t>
        </is>
      </c>
      <c r="N732" s="3">
        <v>46100</v>
      </c>
      <c r="O732" t="inlineStr">
        <is>
          <t>已联系未回复</t>
        </is>
      </c>
      <c r="P732"/>
      <c r="Q732" t="inlineStr">
        <is>
          <t>法国阿维尼翁剧团宣发+宿舍等</t>
        </is>
      </c>
      <c r="R732"/>
      <c r="S732"/>
      <c r="T732"/>
    </row>
    <row r="733" ht="25.5" customHeight="1">
      <c r="A733" t="inlineStr">
        <is>
          <t>伦敦巴特西艺术中心 
Battersea Arts Centre (BAC)</t>
        </is>
      </c>
      <c r="B733" t="inlineStr">
        <is>
          <t>英国</t>
        </is>
      </c>
      <c r="C733" t="inlineStr">
        <is>
          <t>伦敦</t>
        </is>
      </c>
      <c r="D733" t="inlineStr">
        <is>
          <t>艺术中心</t>
        </is>
      </c>
      <c r="E733" t="inlineStr">
        <is>
          <t>戏剧文化</t>
        </is>
      </c>
      <c r="F733" t="inlineStr">
        <is>
          <t>巴特西艺术中心，
薰衣草山，
伦敦 SW11 5TN</t>
        </is>
      </c>
      <c r="G733" s="2" t="str">
        <f>=HYPERLINK("https://bac.org.uk/", "https://bac.org.uk/")</f>
        <v>https://bac.org.uk/</v>
      </c>
      <c r="H733" t="inlineStr">
        <is>
          <t>伦敦先锋戏剧核心阵地，主打实验剧场、沉浸式演出与新锐创作，风格大胆自由。在欧洲戏剧圈影响力强，深受年轻观众追捧。</t>
        </is>
      </c>
      <c r="I733"/>
      <c r="J733"/>
      <c r="K733"/>
      <c r="L733" s="2" t="str">
        <f>=HYPERLINK("mailto:boxoffice@bac.org.uk", "boxoffice@bac.org.uk")</f>
        <v>boxoffice@bac.org.uk</v>
      </c>
      <c r="M733" t="inlineStr">
        <is>
          <t>020 7223 2223</t>
        </is>
      </c>
      <c r="N733" s="3">
        <v>46100</v>
      </c>
      <c r="O733" t="inlineStr">
        <is>
          <t>已联系未回复</t>
        </is>
      </c>
      <c r="P733"/>
      <c r="Q733" t="inlineStr">
        <is>
          <t>法国阿维尼翁剧团宣发+宿舍等</t>
        </is>
      </c>
      <c r="R733"/>
      <c r="S733"/>
      <c r="T733"/>
    </row>
    <row r="734" ht="25.5" customHeight="1">
      <c r="A734" t="inlineStr">
        <is>
          <t>伦敦皇家宫廷剧院
Royal Court Theatre</t>
        </is>
      </c>
      <c r="B734" t="inlineStr">
        <is>
          <t>英国</t>
        </is>
      </c>
      <c r="C734" t="inlineStr">
        <is>
          <t>伦敦</t>
        </is>
      </c>
      <c r="D734" t="inlineStr">
        <is>
          <t>剧团/剧院</t>
        </is>
      </c>
      <c r="E734" t="inlineStr">
        <is>
          <t>戏剧文化</t>
        </is>
      </c>
      <c r="F734" t="inlineStr">
        <is>
          <t>斯隆广场，伦敦，SW1W8AS</t>
        </is>
      </c>
      <c r="G734" s="2" t="str">
        <f>=HYPERLINK("https://royalcourttheatre.com/whats-on/", "https://royalcourttheatre.com/whats-on/")</f>
        <v>https://royalcourttheatre.com/whats-on/</v>
      </c>
      <c r="H734" t="inlineStr">
        <is>
          <t>英国新写作戏剧圣地，以现实题材、社会议题与新锐文本著称，诞生无数经典剧作。是英语世界最具话语权的戏剧机构之一。</t>
        </is>
      </c>
      <c r="I734"/>
      <c r="J734"/>
      <c r="K734"/>
      <c r="L734" s="2" t="str">
        <f>=HYPERLINK("mailto:info@royalcourttheatre.com", "info@royalcourttheatre.com")</f>
        <v>info@royalcourttheatre.com</v>
      </c>
      <c r="M734" t="inlineStr">
        <is>
          <t>+44 (0)20 7565 5050</t>
        </is>
      </c>
      <c r="N734" s="3">
        <v>46100</v>
      </c>
      <c r="O734" t="inlineStr">
        <is>
          <t>已联系未回复</t>
        </is>
      </c>
      <c r="P734"/>
      <c r="Q734" t="inlineStr">
        <is>
          <t>法国阿维尼翁剧团宣发+宿舍等</t>
        </is>
      </c>
      <c r="R734"/>
      <c r="S734"/>
      <c r="T734"/>
    </row>
    <row r="735" ht="25.5" customHeight="1">
      <c r="A735" t="inlineStr">
        <is>
          <t>复杂性剧团
Complicite</t>
        </is>
      </c>
      <c r="B735" t="inlineStr">
        <is>
          <t>英国</t>
        </is>
      </c>
      <c r="C735" t="inlineStr">
        <is>
          <t>伦敦</t>
        </is>
      </c>
      <c r="D735" t="inlineStr">
        <is>
          <t>剧团/剧院</t>
        </is>
      </c>
      <c r="E735" t="inlineStr">
        <is>
          <t>戏剧文化</t>
        </is>
      </c>
      <c r="F735" t="inlineStr">
        <is>
          <t>英国格洛斯特圣阿尔达特街27号Jolt Studios 15号工作室</t>
        </is>
      </c>
      <c r="G735" s="2" t="str">
        <f>=HYPERLINK("https://www.complicite.org/", "https://www.complicite.org/")</f>
        <v>https://www.complicite.org/</v>
      </c>
      <c r="H735" t="inlineStr">
        <is>
          <t>英国顶尖形体戏剧团，以视觉化、叙事性与高质感舞台闻名全球，作品极具感染力。常年巡演欧洲，法国观众认可度极高。</t>
        </is>
      </c>
      <c r="I735"/>
      <c r="J735"/>
      <c r="K735"/>
      <c r="L735" s="2" t="str">
        <f>=HYPERLINK("mailto:email@complicite.org", "email@complicite.org")</f>
        <v>email@complicite.org</v>
      </c>
      <c r="M735" t="inlineStr">
        <is>
          <t>+44 (0) 20 7485 7700</t>
        </is>
      </c>
      <c r="N735" s="3">
        <v>46100</v>
      </c>
      <c r="O735" t="inlineStr">
        <is>
          <t>已联系未回复</t>
        </is>
      </c>
      <c r="P735"/>
      <c r="Q735" t="inlineStr">
        <is>
          <t>法国阿维尼翁剧团宣发+宿舍等</t>
        </is>
      </c>
      <c r="R735"/>
      <c r="S735"/>
      <c r="T735"/>
    </row>
    <row r="736" ht="25.5" customHeight="1">
      <c r="A736" t="inlineStr">
        <is>
          <t>疯狂组合剧团
 Frantic Assembly</t>
        </is>
      </c>
      <c r="B736" t="inlineStr">
        <is>
          <t>英国</t>
        </is>
      </c>
      <c r="C736" t="inlineStr">
        <is>
          <t>伦敦</t>
        </is>
      </c>
      <c r="D736" t="inlineStr">
        <is>
          <t>剧团/剧院</t>
        </is>
      </c>
      <c r="E736" t="inlineStr">
        <is>
          <t>戏剧文化</t>
        </is>
      </c>
      <c r="F736" t="inlineStr">
        <is>
          <t>英国伦敦布里克斯顿剧院，SW9 8GL</t>
        </is>
      </c>
      <c r="G736" s="2" t="str">
        <f>=HYPERLINK("https://www.franticassembly.co.uk/", "https://www.franticassembly.co.uk/")</f>
        <v>https://www.franticassembly.co.uk/</v>
      </c>
      <c r="H736" t="inlineStr">
        <is>
          <t>英国主流物理戏剧团，风格现代、动感强烈，擅长肢体与文本结合，观赏性极强。受众广泛，适合大众推广。</t>
        </is>
      </c>
      <c r="I736"/>
      <c r="J736"/>
      <c r="K736"/>
      <c r="L736" s="2" t="str">
        <f>=HYPERLINK("mailto:admin@franticassembly.co.uk", "admin@franticassembly.co.uk")</f>
        <v>admin@franticassembly.co.uk</v>
      </c>
      <c r="M736" t="inlineStr">
        <is>
          <t>+44 (0)20 3161 4031</t>
        </is>
      </c>
      <c r="N736" s="3">
        <v>46100</v>
      </c>
      <c r="O736" t="inlineStr">
        <is>
          <t>已联系未回复</t>
        </is>
      </c>
      <c r="P736"/>
      <c r="Q736" t="inlineStr">
        <is>
          <t>法国阿维尼翁剧团宣发+宿舍等</t>
        </is>
      </c>
      <c r="R736"/>
      <c r="S736"/>
      <c r="T736"/>
    </row>
    <row r="737" ht="25.5" customHeight="1">
      <c r="A737" t="inlineStr">
        <is>
          <t>伦敦城市戏剧学院
City Academy London</t>
        </is>
      </c>
      <c r="B737" t="inlineStr">
        <is>
          <t>英国</t>
        </is>
      </c>
      <c r="C737" t="inlineStr">
        <is>
          <t>伦敦</t>
        </is>
      </c>
      <c r="D737" t="inlineStr">
        <is>
          <t>高校</t>
        </is>
      </c>
      <c r="E737" t="inlineStr">
        <is>
          <t>戏剧文化</t>
        </is>
      </c>
      <c r="F737" t="inlineStr">
        <is>
          <t>林顿路240号 | 伦敦 | SE1 5LA</t>
        </is>
      </c>
      <c r="G737" s="2" t="str">
        <f>=HYPERLINK("https://www.cityacademy.co.uk/", "https://www.cityacademy.co.uk/")</f>
        <v>https://www.cityacademy.co.uk/</v>
      </c>
      <c r="H737" t="inlineStr">
        <is>
          <t>伦敦的一家培训机构，提供面向成人的各类短期和长期表演、戏剧课程，适合不同水平的爱好者及希望提升技能的表演者。</t>
        </is>
      </c>
      <c r="I737" t="inlineStr">
        <is>
          <t>Dr. Mike Baxter</t>
        </is>
      </c>
      <c r="J737" t="inlineStr">
        <is>
          <t>校长</t>
        </is>
      </c>
      <c r="K737"/>
      <c r="L737" s="2" t="str">
        <f>=HYPERLINK("mailto:mbaxter@cityacademy.co.uk", "mbaxter@cityacademy.co.uk")</f>
        <v>mbaxter@cityacademy.co.uk</v>
      </c>
      <c r="M737" t="inlineStr">
        <is>
          <t>020 7394 5100</t>
        </is>
      </c>
      <c r="N737" s="3">
        <v>46100</v>
      </c>
      <c r="O737" t="inlineStr">
        <is>
          <t>已联系未回复</t>
        </is>
      </c>
      <c r="P737"/>
      <c r="Q737" t="inlineStr">
        <is>
          <t>法国阿维尼翁剧团宣发+宿舍等</t>
        </is>
      </c>
      <c r="R737"/>
      <c r="S737"/>
      <c r="T737"/>
    </row>
    <row r="738" ht="25.5" customHeight="1">
      <c r="A738" t="inlineStr">
        <is>
          <t>法国国家艺术与文化企业工会
Syndicat National des Entreprises Artistiques et Culturelles (SYNDEAC)</t>
        </is>
      </c>
      <c r="B738" t="inlineStr">
        <is>
          <t>法国</t>
        </is>
      </c>
      <c r="C738" t="inlineStr">
        <is>
          <t>巴黎</t>
        </is>
      </c>
      <c r="D738" t="inlineStr">
        <is>
          <t>行业协会</t>
        </is>
      </c>
      <c r="E738" t="inlineStr">
        <is>
          <t>戏剧文化</t>
        </is>
      </c>
      <c r="F738" t="inlineStr">
        <is>
          <t>20 圣尼古拉街 · 75012 巴黎</t>
        </is>
      </c>
      <c r="G738" s="2" t="str">
        <f>=HYPERLINK("https://www.sacd.fr/fr", "https://www.sacd.fr/fr")</f>
        <v>https://www.sacd.fr/fr</v>
      </c>
      <c r="H738" t="inlineStr">
        <is>
          <t>SYNDEAC成立于1971年，是法国戏剧艺术领域最主要的雇主工会，由公立剧院管理者发起创立。该工会代表剧院管理者与员工工会进行谈判，并要求保持对公共当局的独立性。作为连接国家和剧院管理者的主要中间机构，SYNDEAC深刻影响了法国公共政策的制定和集体协议的发展，同时也巩固了剧院管理者在戏剧艺术领域的地位。</t>
        </is>
      </c>
      <c r="I738"/>
      <c r="J738"/>
      <c r="K738"/>
      <c r="L738" s="2" t="str">
        <f>=HYPERLINK("mailto:contact@syndeac.org", "contact@syndeac.org")</f>
        <v>contact@syndeac.org</v>
      </c>
      <c r="M738" t="inlineStr">
        <is>
          <t>01 44 53 72 10</t>
        </is>
      </c>
      <c r="N738" s="3">
        <v>46100</v>
      </c>
      <c r="O738" t="inlineStr">
        <is>
          <t>已联系未回复</t>
        </is>
      </c>
      <c r="P738"/>
      <c r="Q738" t="inlineStr">
        <is>
          <t>法国阿维尼翁剧团宣发+宿舍等</t>
        </is>
      </c>
      <c r="R738"/>
      <c r="S738"/>
      <c r="T738"/>
    </row>
    <row r="739" ht="25.5" customHeight="1">
      <c r="A739" t="inlineStr">
        <is>
          <t>法国戏剧制作人与剧院联盟
 Théâtres et Producteurs Associés (TPA)</t>
        </is>
      </c>
      <c r="B739" t="inlineStr">
        <is>
          <t>法国</t>
        </is>
      </c>
      <c r="C739" t="inlineStr">
        <is>
          <t>巴黎</t>
        </is>
      </c>
      <c r="D739" t="inlineStr">
        <is>
          <t>行业协会</t>
        </is>
      </c>
      <c r="E739" t="inlineStr">
        <is>
          <t>戏剧文化</t>
        </is>
      </c>
      <c r="F739"/>
      <c r="G739" s="2" t="str">
        <f>=HYPERLINK("https://tpa.fr/", "https://tpa.fr/")</f>
        <v>https://tpa.fr/</v>
      </c>
      <c r="H739" t="inlineStr">
        <is>
          <t>法国戏剧制作人与剧院联盟是代表戏剧制作人和剧院机构的专业组织，致力于推动法国戏剧创作的发展和传播。该联盟汇集了众多剧院和制作公司，共同维护行业利益，促进戏剧作品的制作与演出交流。通过组织行业对话和合作项目，它在法国戏剧生态中扮演着重要的协调角色。</t>
        </is>
      </c>
      <c r="I739"/>
      <c r="J739"/>
      <c r="K739"/>
      <c r="L739" s="2" t="str">
        <f>=HYPERLINK("mailto:info@tpa.fr", "info@tpa.fr")</f>
        <v>info@tpa.fr</v>
      </c>
      <c r="M739" t="inlineStr">
        <is>
          <t>+33 (0) 1 42 60 70 70</t>
        </is>
      </c>
      <c r="N739" s="3">
        <v>46100</v>
      </c>
      <c r="O739" t="inlineStr">
        <is>
          <t>已联系未回复</t>
        </is>
      </c>
      <c r="P739"/>
      <c r="Q739" t="inlineStr">
        <is>
          <t>法国阿维尼翁剧团宣发+宿舍等</t>
        </is>
      </c>
      <c r="R739"/>
      <c r="S739"/>
      <c r="T739"/>
    </row>
    <row r="740" ht="25.5" customHeight="1">
      <c r="A740" t="inlineStr">
        <is>
          <t>法国戏剧作者协会
Écrivaines et Écrivains Associés du Théâtre (EAT)</t>
        </is>
      </c>
      <c r="B740" t="inlineStr">
        <is>
          <t>法国</t>
        </is>
      </c>
      <c r="C740" t="inlineStr">
        <is>
          <t>巴黎</t>
        </is>
      </c>
      <c r="D740" t="inlineStr">
        <is>
          <t>行业协会</t>
        </is>
      </c>
      <c r="E740" t="inlineStr">
        <is>
          <t>戏剧文化</t>
        </is>
      </c>
      <c r="F740" t="inlineStr">
        <is>
          <t>巴黎布尔雷街 10 号，邮编 75017</t>
        </is>
      </c>
      <c r="G740" s="2" t="str">
        <f>=HYPERLINK("https://www.eatheatre.fr/", "https://www.eatheatre.fr/")</f>
        <v>https://www.eatheatre.fr/</v>
      </c>
      <c r="H740" t="inlineStr">
        <is>
          <t>法国戏剧作者协会是代表剧作家权益的专业组织，致力于保护和促进戏剧创作者的职业权利。该协会为剧作家提供法律咨询、版权保护和合同指导等专业服务，同时推动当代戏剧文本的创作与传播。通过组织剧本研讨、创作工作坊和与剧院机构的对话，它为法国戏剧创作的繁荣提供了重要支持。</t>
        </is>
      </c>
      <c r="I740" t="inlineStr">
        <is>
          <t>Marine Binard</t>
        </is>
      </c>
      <c r="J740"/>
      <c r="K740"/>
      <c r="L740" s="2" t="str">
        <f>=HYPERLINK("http://contact.eatheatre@gmail.com", "contact.eatheatre@gmail.com")</f>
        <v>contact.eatheatre@gmail.com</v>
      </c>
      <c r="M740" t="inlineStr">
        <is>
          <t>+33 1 42 29 78 64</t>
        </is>
      </c>
      <c r="N740" s="3">
        <v>46100</v>
      </c>
      <c r="O740" t="inlineStr">
        <is>
          <t>已联系未回复</t>
        </is>
      </c>
      <c r="P740"/>
      <c r="Q740" t="inlineStr">
        <is>
          <t>法国阿维尼翁剧团宣发+宿舍等</t>
        </is>
      </c>
      <c r="R740"/>
      <c r="S740"/>
      <c r="T740"/>
    </row>
    <row r="741" ht="25.5" customHeight="1">
      <c r="A741" t="inlineStr">
        <is>
          <t>法国业余戏剧全国联合会
National Federation of Amateur Theatre Companies</t>
        </is>
      </c>
      <c r="B741" t="inlineStr">
        <is>
          <t>法国</t>
        </is>
      </c>
      <c r="C741" t="inlineStr">
        <is>
          <t>巴黎</t>
        </is>
      </c>
      <c r="D741" t="inlineStr">
        <is>
          <t>行业协会</t>
        </is>
      </c>
      <c r="E741" t="inlineStr">
        <is>
          <t>戏剧文化</t>
        </is>
      </c>
      <c r="F741" t="inlineStr">
        <is>
          <t>法国巴黎肖塞当坦路 12 号，邮编 75009</t>
        </is>
      </c>
      <c r="G741" s="2" t="str">
        <f>=HYPERLINK("https://fncta.fr/", "https://fncta.fr/")</f>
        <v>https://fncta.fr/</v>
      </c>
      <c r="H741" t="inlineStr">
        <is>
          <t>法国业余戏剧全国联合会是全国性的业余戏剧组织，代表约1700个业余剧团，在法国各地设有15个地区联盟和43个省级委员会。该联合会为会员提供多重支持：建立经验交流网络、出版《戏剧与活动》杂志传递信息、组织表演技巧和导演技术的工作坊、提供行政和资金方面的项目咨询。其成员每年在法国各地组织约130个戏剧节，是法国业余戏剧活动的重要推动力量。</t>
        </is>
      </c>
      <c r="I741"/>
      <c r="J741"/>
      <c r="K741"/>
      <c r="L741" s="2" t="str">
        <f>=HYPERLINK("mailto:contact@fncta.fr", "contact@fncta.fr")</f>
        <v>contact@fncta.fr</v>
      </c>
      <c r="M741" t="inlineStr">
        <is>
          <t>+33 1 45 23 36 46</t>
        </is>
      </c>
      <c r="N741" s="3">
        <v>46100</v>
      </c>
      <c r="O741" t="inlineStr">
        <is>
          <t>已联系未回复</t>
        </is>
      </c>
      <c r="P741"/>
      <c r="Q741" t="inlineStr">
        <is>
          <t>法国阿维尼翁剧团宣发+宿舍等</t>
        </is>
      </c>
      <c r="R741"/>
      <c r="S741"/>
      <c r="T741"/>
    </row>
    <row r="742" ht="25.5" customHeight="1">
      <c r="A742" t="inlineStr">
        <is>
          <t>法国国家演出传播办公室
National Office for Artistic Dissemination</t>
        </is>
      </c>
      <c r="B742" t="inlineStr">
        <is>
          <t>法国</t>
        </is>
      </c>
      <c r="C742" t="inlineStr">
        <is>
          <t>巴黎</t>
        </is>
      </c>
      <c r="D742" t="inlineStr">
        <is>
          <t>行业协会</t>
        </is>
      </c>
      <c r="E742" t="inlineStr">
        <is>
          <t>戏剧文化</t>
        </is>
      </c>
      <c r="F742" t="inlineStr">
        <is>
          <t>法国巴黎亨利•蒙尼耶路乙13号，邮编75009</t>
        </is>
      </c>
      <c r="G742" s="2" t="str">
        <f>=HYPERLINK("https://www.onda.fr/en?utm_source=chatgpt.com", "https://www.onda.fr/en?utm_source=chatgpt.com")</f>
        <v>https://www.onda.fr/en?utm_source=chatgpt.com</v>
      </c>
      <c r="H742" t="inlineStr">
        <is>
          <t>ONDA成立于1975年，是由法国文化与传播部资助的非营利组织，总部位于巴黎第九区。其核心使命是促进高质量当代表演艺术在全国各地的传播，并建立表演艺术专业人士网络。如今，ONDA将支持重点集中在创新型当代创作上，每年向约580家从事当代创作的公司和组织发放250万欧元的资助。该机构每年组织约50场专业会议，吸引约2000名表演艺术专业人士参与，并在边境地区的会议中日益增加外国参与者的数量。</t>
        </is>
      </c>
      <c r="I742"/>
      <c r="J742"/>
      <c r="K742"/>
      <c r="L742" s="2" t="str">
        <f>=HYPERLINK("mailto:info@onda.fr", "info@onda.fr")</f>
        <v>info@onda.fr</v>
      </c>
      <c r="M742" t="inlineStr">
        <is>
          <t>33 (0)1 42 80 28 22</t>
        </is>
      </c>
      <c r="N742" s="3">
        <v>46100</v>
      </c>
      <c r="O742" t="inlineStr">
        <is>
          <t>已联系未回复</t>
        </is>
      </c>
      <c r="P742"/>
      <c r="Q742" t="inlineStr">
        <is>
          <t>法国阿维尼翁剧团宣发+宿舍等</t>
        </is>
      </c>
      <c r="R742"/>
      <c r="S742"/>
      <c r="T742"/>
    </row>
    <row r="743" ht="25.5" customHeight="1">
      <c r="A743" t="inlineStr">
        <is>
          <t>法国私人剧院支持协会
Association for the Support of Private Theatre</t>
        </is>
      </c>
      <c r="B743" t="inlineStr">
        <is>
          <t>法国</t>
        </is>
      </c>
      <c r="C743" t="inlineStr">
        <is>
          <t>巴黎</t>
        </is>
      </c>
      <c r="D743" t="inlineStr">
        <is>
          <t>行业协会</t>
        </is>
      </c>
      <c r="E743" t="inlineStr">
        <is>
          <t>戏剧文化</t>
        </is>
      </c>
      <c r="F743" t="inlineStr">
        <is>
          <t>巴黎拉博德路 48 号，邮编 75008</t>
        </is>
      </c>
      <c r="G743" s="2" t="str">
        <f>=HYPERLINK("https://astp.asso.fr/", "https://astp.asso.fr/")</f>
        <v>https://astp.asso.fr/</v>
      </c>
      <c r="H743" t="inlineStr">
        <is>
          <t>法国私人剧院支持协会是致力于支持私营剧院发展的专业机构，为未获得政府补贴的剧院、私人巡演组织者和表演艺术公司提供帮助。在新冠疫情期间，该协会与国家、巴黎市政府等机构共同设立了表演艺术应急基金，为受疫情影响的艺术机构提供固定费用支持。2024年，ASTP的工作得到进一步加强，作为Ekhoscenes（原Prodiss与SNDTP、CAMULC合并后的新组织）重点发展的项目之一，继续为私营剧场提供支持。</t>
        </is>
      </c>
      <c r="I743"/>
      <c r="J743"/>
      <c r="K743"/>
      <c r="L743" s="2" t="str">
        <f>=HYPERLINK("http://在线联系表格：https://astp.asso.fr/contact/", "在线联系表格：https://astp.asso.fr/contact/")</f>
        <v>在线联系表格：https://astp.asso.fr/contact/</v>
      </c>
      <c r="M743" t="inlineStr">
        <is>
          <t>01 42 27 45 97</t>
        </is>
      </c>
      <c r="N743" s="3">
        <v>46100</v>
      </c>
      <c r="O743" t="inlineStr">
        <is>
          <t>已联系未回复</t>
        </is>
      </c>
      <c r="P743"/>
      <c r="Q743" t="inlineStr">
        <is>
          <t>法国阿维尼翁剧团宣发+宿舍等</t>
        </is>
      </c>
      <c r="R743"/>
      <c r="S743"/>
      <c r="T743"/>
    </row>
    <row r="744" ht="25.5" customHeight="1">
      <c r="A744" t="inlineStr">
        <is>
          <t>巴黎中国文化中心
China Cultural Center in Paris</t>
        </is>
      </c>
      <c r="B744" t="inlineStr">
        <is>
          <t>法国</t>
        </is>
      </c>
      <c r="C744" t="inlineStr">
        <is>
          <t>巴黎</t>
        </is>
      </c>
      <c r="D744" t="inlineStr">
        <is>
          <t>文化中心</t>
        </is>
      </c>
      <c r="E744" t="inlineStr">
        <is>
          <t>戏剧文化</t>
        </is>
      </c>
      <c r="F744" t="inlineStr">
        <is>
          <t>法国巴黎图尔-莫布尔大道 1 号，邮编 75007</t>
        </is>
      </c>
      <c r="G744" s="2" t="str">
        <f>=HYPERLINK("https://www.ccc-paris.org/?utm_source=chatgpt.com", "https://www.ccc-paris.org/?utm_source=chatgpt.com")</f>
        <v>https://www.ccc-paris.org/?utm_source=chatgpt.com</v>
      </c>
      <c r="H744" t="inlineStr">
        <is>
          <t>巴黎中国文化中心成立于2002年11月29日，是中国在西方国家设立的第一个文化中心，位于巴黎第七区塞纳河左岸黄金地段，毗邻荣军院与埃菲尔铁塔。中心由19世纪古典建筑孟德斯鸠公馆和融入中国塔式元素的现代玻璃楼构成，两楼间以苏式园林风格的中式庭院相连，被列为法国19世纪文化遗产。中心设有多功能展厅、图书馆（藏书超2.5万册）及中华文化体验馆等设施，常年举办"欢乐春节""巴黎中国戏曲节""中法时装周"等品牌活动，每周有750多名学员在此学习汉语、书法、民乐等课程。</t>
        </is>
      </c>
      <c r="I744"/>
      <c r="J744"/>
      <c r="K744"/>
      <c r="L744" s="2" t="str">
        <f>=HYPERLINK("mailto:communication@ccc-paris.org", "communication@ccc-paris.org")</f>
        <v>communication@ccc-paris.org</v>
      </c>
      <c r="M744" t="inlineStr">
        <is>
          <t>01 53 59 59 20</t>
        </is>
      </c>
      <c r="N744" s="3">
        <v>46100</v>
      </c>
      <c r="O744" t="inlineStr">
        <is>
          <t>已联系未回复</t>
        </is>
      </c>
      <c r="P744"/>
      <c r="Q744" t="inlineStr">
        <is>
          <t>法国阿维尼翁剧团宣发+宿舍等</t>
        </is>
      </c>
      <c r="R744"/>
      <c r="S744"/>
      <c r="T744"/>
    </row>
    <row r="745" ht="25.5" customHeight="1">
      <c r="A745" t="inlineStr">
        <is>
          <t>德勤印度
Dezan Shira &amp; Associates</t>
        </is>
      </c>
      <c r="B745" t="inlineStr">
        <is>
          <t>印度</t>
        </is>
      </c>
      <c r="C745" t="inlineStr">
        <is>
          <t>古尔冈</t>
        </is>
      </c>
      <c r="D745" t="inlineStr">
        <is>
          <t>咨询公司</t>
        </is>
      </c>
      <c r="E745" t="inlineStr">
        <is>
          <t>出海通识知识课程培训</t>
        </is>
      </c>
      <c r="F745" t="inlineStr">
        <is>
          <t>印度哈里亚纳邦 Guru-Dronacharya 地铁站附近，Emaar CapitalTower22号11楼1101-A单元，近 Guru-Dronacharya 地铁站</t>
        </is>
      </c>
      <c r="G745" s="2" t="str">
        <f>=HYPERLINK("https://www.dezshira.com/office/india", "https://www.dezshira.com/office/india")</f>
        <v>https://www.dezshira.com/office/india</v>
      </c>
      <c r="H745" t="inlineStr">
        <is>
          <t>德勤印度是全球四大专业服务机构德勤在印度的运营主体，提供审计鉴证、税务、风险管理、财务咨询与企业咨询等全链条服务；协同 Dezan Shira &amp; Associates 深耕中印市场，为跨境企业提供市场准入、合规风控、财税人力与知识产权等一站式落地解决方案，助力企业高效布局印度市场。</t>
        </is>
      </c>
      <c r="I745"/>
      <c r="J745"/>
      <c r="K745"/>
      <c r="L745" s="2" t="str">
        <f>=HYPERLINK("mailto:delhi@dezshira.com", "delhi@dezshira.com")</f>
        <v>delhi@dezshira.com</v>
      </c>
      <c r="M745" t="inlineStr">
        <is>
          <t>+91 1244001785</t>
        </is>
      </c>
      <c r="N745" s="3">
        <v>46106</v>
      </c>
      <c r="O745" t="inlineStr">
        <is>
          <t>已联系未回复</t>
        </is>
      </c>
      <c r="P745"/>
      <c r="Q745" t="inlineStr">
        <is>
          <t>上汽培训课程</t>
        </is>
      </c>
      <c r="R745"/>
      <c r="S745"/>
      <c r="T745"/>
    </row>
    <row r="746" ht="25.5" customHeight="1">
      <c r="A746" t="inlineStr">
        <is>
          <t>印中商工会
Indo China Chamber of Commerce</t>
        </is>
      </c>
      <c r="B746" t="inlineStr">
        <is>
          <t>印度</t>
        </is>
      </c>
      <c r="C746" t="inlineStr">
        <is>
          <t>新德里</t>
        </is>
      </c>
      <c r="D746" t="inlineStr">
        <is>
          <t>商会</t>
        </is>
      </c>
      <c r="E746" t="inlineStr">
        <is>
          <t>出海通识知识课程培训</t>
        </is>
      </c>
      <c r="F746" t="inlineStr">
        <is>
          <t>新德里拉金德拉广场 普拉加蒂大厦1107室（11楼），邮编：110008</t>
        </is>
      </c>
      <c r="G746" s="2" t="str">
        <f>=HYPERLINK("https://www.indoccc.org/", "https://www.indoccc.org/")</f>
        <v>https://www.indoccc.org/</v>
      </c>
      <c r="H746" t="inlineStr">
        <is>
          <t>印中商工会是印度政府认可的全国性经贸组织，专注推动印度与中国及港澳地区的贸易投资、产业合作与商务往来，通过组织经贸代表团、展会对接、政策解读与商事服务，搭建政企沟通桥梁，促进中印企业互利共赢与民间经贸友好交流。</t>
        </is>
      </c>
      <c r="I746"/>
      <c r="J746"/>
      <c r="K746"/>
      <c r="L746" s="2" t="str">
        <f>=HYPERLINK("mailto:info@indoccc.org", "info@indoccc.org")</f>
        <v>info@indoccc.org</v>
      </c>
      <c r="M746" t="inlineStr">
        <is>
          <t>+91-98181 74168</t>
        </is>
      </c>
      <c r="N746" s="3">
        <v>46106</v>
      </c>
      <c r="O746" t="inlineStr">
        <is>
          <t>已联系未回复</t>
        </is>
      </c>
      <c r="P746"/>
      <c r="Q746" t="inlineStr">
        <is>
          <t>上汽培训课程</t>
        </is>
      </c>
      <c r="R746"/>
      <c r="S746"/>
      <c r="T746"/>
    </row>
    <row r="747" ht="25.5" customHeight="1">
      <c r="A747" t="inlineStr">
        <is>
          <t>探索法律事务所
Esplora Legal</t>
        </is>
      </c>
      <c r="B747" t="inlineStr">
        <is>
          <t>印度</t>
        </is>
      </c>
      <c r="C747" t="inlineStr">
        <is>
          <t>孟买</t>
        </is>
      </c>
      <c r="D747" t="inlineStr">
        <is>
          <t>律所</t>
        </is>
      </c>
      <c r="E747" t="inlineStr">
        <is>
          <t>出海通识知识课程培训</t>
        </is>
      </c>
      <c r="F747" t="inlineStr">
        <is>
          <t>多个办事处，其一：马哈拉施特拉邦孟买班德拉东区班德拉库尔拉综合体One BKC C座18层</t>
        </is>
      </c>
      <c r="G747" s="2" t="str">
        <f>=HYPERLINK("https://esploralegal.com/", "https://esploralegal.com/")</f>
        <v>https://esploralegal.com/</v>
      </c>
      <c r="H747" t="inlineStr">
        <is>
          <t>Esplora Legal 探索法律事务所是一家提供全领域服务的国际律所，拥有跨法域专业团队，聚焦金融财税、基建 PPP、知识产权、争议解决与跨境投资等领域，以定制化一站式法律服务，协助企业在多元司法辖区实现商业目标、管控法律风险。</t>
        </is>
      </c>
      <c r="I747"/>
      <c r="J747"/>
      <c r="K747"/>
      <c r="L747" s="2" t="str">
        <f>=HYPERLINK("mailto:pritishteckchandani@esploralegal.com", "pritishteckchandani@esploralegal.com")</f>
        <v>pritishteckchandani@esploralegal.com</v>
      </c>
      <c r="M747"/>
      <c r="N747" s="3">
        <v>46106</v>
      </c>
      <c r="O747" t="inlineStr">
        <is>
          <t>已联系已回复</t>
        </is>
      </c>
      <c r="P747" t="inlineStr">
        <is>
          <t>表示有符合我们条件的讲师，希望通过短暂的线上会议探讨详情</t>
        </is>
      </c>
      <c r="Q747" t="inlineStr">
        <is>
          <t>上汽培训课程</t>
        </is>
      </c>
      <c r="R747"/>
      <c r="S747"/>
      <c r="T747"/>
    </row>
    <row r="748" ht="25.5" customHeight="1">
      <c r="A748" t="inlineStr">
        <is>
          <t>凯坦律师事务所
Khaitan &amp; Co</t>
        </is>
      </c>
      <c r="B748" t="inlineStr">
        <is>
          <t>印度</t>
        </is>
      </c>
      <c r="C748" t="inlineStr">
        <is>
          <t>孟买</t>
        </is>
      </c>
      <c r="D748" t="inlineStr">
        <is>
          <t>律所</t>
        </is>
      </c>
      <c r="E748" t="inlineStr">
        <is>
          <t>出海通识知识课程培训</t>
        </is>
      </c>
      <c r="F748" t="inlineStr">
        <is>
          <t>有多个地点，其一：世界中心
1C座10层、13层和14层
塞纳帕蒂·巴帕特路841号
印度孟买 400 013</t>
        </is>
      </c>
      <c r="G748" s="2" t="str">
        <f>=HYPERLINK("https://www.khaitanco.com/expertise/global-capability-centres", "https://www.khaitanco.com/expertise/global-capability-centres")</f>
        <v>https://www.khaitanco.com/expertise/global-capability-centres</v>
      </c>
      <c r="H748" t="inlineStr">
        <is>
          <t>Khaitan &amp; Co 创立于 1911 年，是印度历史最悠久、规模领先的顶级全能律所之一，在印度主要城市及新加坡设有办公室，业务覆盖公司并购、资本市场、银行金融、竞争法、能源基建与争议解决等，凭借百年执业经验为全球客户提供务实商业法律方案。</t>
        </is>
      </c>
      <c r="I748"/>
      <c r="J748"/>
      <c r="K748"/>
      <c r="L748" s="2" t="str">
        <f>=HYPERLINK("mailto:mumbai@khaitanco.com", "mumbai@khaitanco.com")</f>
        <v>mumbai@khaitanco.com</v>
      </c>
      <c r="M748" t="inlineStr">
        <is>
          <t>+91 22 6636 5000</t>
        </is>
      </c>
      <c r="N748" s="3">
        <v>46106</v>
      </c>
      <c r="O748" t="inlineStr">
        <is>
          <t>已联系已回复</t>
        </is>
      </c>
      <c r="P748" t="inlineStr">
        <is>
          <t>没有华人讲师，询问我们是否能够用其他方式来合作-我方已拒绝，并期待未来能够达成其他的合作</t>
        </is>
      </c>
      <c r="Q748" t="inlineStr">
        <is>
          <t>上汽培训课程</t>
        </is>
      </c>
      <c r="R748"/>
      <c r="S748"/>
      <c r="T748"/>
    </row>
    <row r="749" ht="25.5" customHeight="1">
      <c r="A749" t="inlineStr">
        <is>
          <t>德恩瑞律师事务所（印度）
D’Andrea &amp; Partners India</t>
        </is>
      </c>
      <c r="B749" t="inlineStr">
        <is>
          <t>印度</t>
        </is>
      </c>
      <c r="C749" t="inlineStr">
        <is>
          <t>浦那</t>
        </is>
      </c>
      <c r="D749" t="inlineStr">
        <is>
          <t>律所</t>
        </is>
      </c>
      <c r="E749" t="inlineStr">
        <is>
          <t>出海通识知识课程培训</t>
        </is>
      </c>
      <c r="F749" t="inlineStr">
        <is>
          <t>印度浦那市奥恩德区DP路“Soham Complex”14号，邮编：411007
孟买班德拉东区班德拉库尔拉综合体G区C66地块C座一号BKC中心18层1801单元，邮编：400051</t>
        </is>
      </c>
      <c r="G749" s="2" t="str">
        <f>=HYPERLINK("https://www.dandreapartners.com/", "https://www.dandreapartners.com/")</f>
        <v>https://www.dandreapartners.com/</v>
      </c>
      <c r="H749" t="inlineStr">
        <is>
          <t>D’Andrea &amp; Partners 德恩瑞是深耕中欧印市场的国际律所，印度办公室专注外商直接投资、公司合规、劳动用工、知识产权、跨境并购与商事仲裁，依托中国、意大利、印度等全球网络，为中资及跨国企业提供精准落地印度的法律与商务支持。
</t>
        </is>
      </c>
      <c r="I749"/>
      <c r="J749"/>
      <c r="K749"/>
      <c r="L749" s="2" t="str">
        <f>=HYPERLINK("mailto:pune@dandreapartners.com", "pune@dandreapartners.com")</f>
        <v>pune@dandreapartners.com</v>
      </c>
      <c r="M749" t="inlineStr">
        <is>
          <t>+91 20 41208013</t>
        </is>
      </c>
      <c r="N749" s="3">
        <v>46106</v>
      </c>
      <c r="O749" t="inlineStr">
        <is>
          <t>已联系未回复</t>
        </is>
      </c>
      <c r="P749"/>
      <c r="Q749" t="inlineStr">
        <is>
          <t>上汽培训课程</t>
        </is>
      </c>
      <c r="R749"/>
      <c r="S749"/>
      <c r="T749"/>
    </row>
    <row r="750" ht="25.5" customHeight="1">
      <c r="A750" t="inlineStr">
        <is>
          <t>阿维尼翁圣若瑟中学
Lycée Saint-Joseph Avignon</t>
        </is>
      </c>
      <c r="B750" t="inlineStr">
        <is>
          <t>法国</t>
        </is>
      </c>
      <c r="C750" t="inlineStr">
        <is>
          <t>阿维尼翁</t>
        </is>
      </c>
      <c r="D750" t="inlineStr">
        <is>
          <t>高中</t>
        </is>
      </c>
      <c r="E750" t="inlineStr">
        <is>
          <t>学校</t>
        </is>
      </c>
      <c r="F750" t="inlineStr">
        <is>
          <t>法国阿维尼翁市 利斯街 62 号，邮编 84000</t>
        </is>
      </c>
      <c r="G750" s="2" t="str">
        <f>=HYPERLINK("https://stjoavignon.fr/", "https://stjoavignon.fr/")</f>
        <v>https://stjoavignon.fr/</v>
      </c>
      <c r="H750" t="inlineStr">
        <is>
          <t>创办于 1850 年的私立天主教耶稣会高中，位于阿维尼翁市中心。开设普通高中、技术类课程及精英预科班，教学质量本地口碑突出，设有校内宿舍与食堂，是当地热门优质中学。</t>
        </is>
      </c>
      <c r="I750" t="inlineStr">
        <is>
          <t>M. Lopez</t>
        </is>
      </c>
      <c r="J750" t="inlineStr">
        <is>
          <t>行政助理</t>
        </is>
      </c>
      <c r="K750"/>
      <c r="L750" s="2" t="str">
        <f>=HYPERLINK("mailto:r.lopez@stjoavignon.com", "r.lopez@stjoavignon.com")</f>
        <v>r.lopez@stjoavignon.com</v>
      </c>
      <c r="M750" t="inlineStr">
        <is>
          <t>04 90 14 56 00</t>
        </is>
      </c>
      <c r="N750" s="3">
        <v>46107</v>
      </c>
      <c r="O750" t="inlineStr">
        <is>
          <t>已联系已回复</t>
        </is>
      </c>
      <c r="P750" t="inlineStr">
        <is>
          <t>表示无法提供宿舍，因为学校是阿维尼翁in单元的场地之一</t>
        </is>
      </c>
      <c r="Q750" t="inlineStr">
        <is>
          <t>法国阿维尼翁剧团宣发+宿舍等</t>
        </is>
      </c>
      <c r="R750"/>
      <c r="S750"/>
      <c r="T750"/>
    </row>
    <row r="751" ht="25.5" customHeight="1">
      <c r="A751" t="inlineStr">
        <is>
          <t>弗雷德里克·米斯特拉尔中学
Lycée Frédéric Mistral</t>
        </is>
      </c>
      <c r="B751" t="inlineStr">
        <is>
          <t>法国</t>
        </is>
      </c>
      <c r="C751" t="inlineStr">
        <is>
          <t>阿维尼翁</t>
        </is>
      </c>
      <c r="D751" t="inlineStr">
        <is>
          <t>高中</t>
        </is>
      </c>
      <c r="E751" t="inlineStr">
        <is>
          <t>学校</t>
        </is>
      </c>
      <c r="F751" t="inlineStr">
        <is>
          <t>阿纳内勒街 37 号84000 阿维尼翁</t>
        </is>
      </c>
      <c r="G751" s="2" t="str">
        <f>=HYPERLINK("https://www.site.ac-aix-marseille.fr/lyc-mistral-avignon/spip/?lang=fr", "https://www.site.ac-aix-marseille.fr/lyc-mistral-avignon/spip/?lang=fr")</f>
        <v>https://www.site.ac-aix-marseille.fr/lyc-mistral-avignon/spip/?lang=fr</v>
      </c>
      <c r="H751" t="inlineStr">
        <is>
          <t>阿维尼翁知名公立普通高中，1965 年建校。办学规模较大，开设文理与技术方向，高考通过率优异，配备约 130 个床位的寄宿设施，地处市区，生源多元。</t>
        </is>
      </c>
      <c r="I751"/>
      <c r="J751"/>
      <c r="K751"/>
      <c r="L751" s="2" t="str">
        <f>=HYPERLINK("mailto:secretariateleves.lyc.mistral84@ac-aix-marseille.fr", "secretariateleves.lyc.mistral84@ac-aix-marseille.fr")</f>
        <v>secretariateleves.lyc.mistral84@ac-aix-marseille.fr</v>
      </c>
      <c r="M751" t="inlineStr">
        <is>
          <t>04 90 80 45 00</t>
        </is>
      </c>
      <c r="N751" s="3">
        <v>46107</v>
      </c>
      <c r="O751" t="inlineStr">
        <is>
          <t>已联系未回复</t>
        </is>
      </c>
      <c r="P751"/>
      <c r="Q751" t="inlineStr">
        <is>
          <t>法国阿维尼翁剧团宣发+宿舍等</t>
        </is>
      </c>
      <c r="R751"/>
      <c r="S751"/>
      <c r="T751"/>
    </row>
    <row r="752" ht="25.5" customHeight="1">
      <c r="A752" t="inlineStr">
        <is>
          <t>佩特拉克中学/农业与生命科学方向高中
Lycée Pétrarque Avignon</t>
        </is>
      </c>
      <c r="B752" t="inlineStr">
        <is>
          <t>法国</t>
        </is>
      </c>
      <c r="C752" t="inlineStr">
        <is>
          <t>阿维尼翁</t>
        </is>
      </c>
      <c r="D752" t="inlineStr">
        <is>
          <t>高中</t>
        </is>
      </c>
      <c r="E752" t="inlineStr">
        <is>
          <t>学校</t>
        </is>
      </c>
      <c r="F752" t="inlineStr">
        <is>
          <t>农业园区校区马赛路 3592 号，邮政信箱 1208法国阿维尼翁第九邮政区 84911</t>
        </is>
      </c>
      <c r="G752" s="2" t="str">
        <f>=HYPERLINK("https://www.lycee-petrarque.fr/", "https://www.lycee-petrarque.fr/")</f>
        <v>https://www.lycee-petrarque.fr/</v>
      </c>
      <c r="H752" t="inlineStr">
        <is>
          <t>隶属法国农业部的公立特色高中，坐落于阿维尼翁农业科技园区。主打农业与生命科学、生物技术、食品科学等方向，提供男女混合寄宿，是普罗旺斯地区农业与生物领域人才培养重要基地。</t>
        </is>
      </c>
      <c r="I752"/>
      <c r="J752"/>
      <c r="K752"/>
      <c r="L752" s="2" t="str">
        <f>=HYPERLINK("mailto:legta.avignon@educagri.fr", "legta.avignon@educagri.fr")</f>
        <v>legta.avignon@educagri.fr</v>
      </c>
      <c r="M752" t="inlineStr">
        <is>
          <t xml:space="preserve">04 90 13 43 13 </t>
        </is>
      </c>
      <c r="N752" s="3">
        <v>46107</v>
      </c>
      <c r="O752" t="inlineStr">
        <is>
          <t>已联系已回复</t>
        </is>
      </c>
      <c r="P752" t="inlineStr">
        <is>
          <t>有宿舍，需要我方的具体需求-没有符合我方需求的宿舍了，推荐了学校附近的学生公寓，目前还有房</t>
        </is>
      </c>
      <c r="Q752" t="inlineStr">
        <is>
          <t>法国阿维尼翁剧团宣发+宿舍等</t>
        </is>
      </c>
      <c r="R752"/>
      <c r="S752"/>
      <c r="T752"/>
    </row>
    <row r="753" ht="25.5" customHeight="1">
      <c r="A753" t="inlineStr">
        <is>
          <t>阿维尼翁科学与技术校区 / 菲利普·德·吉拉尔高中
Campus Avignon / Lycée Philippe de Girard</t>
        </is>
      </c>
      <c r="B753" t="inlineStr">
        <is>
          <t>法国</t>
        </is>
      </c>
      <c r="C753" t="inlineStr">
        <is>
          <t>阿维尼翁</t>
        </is>
      </c>
      <c r="D753" t="inlineStr">
        <is>
          <t>高中</t>
        </is>
      </c>
      <c r="E753" t="inlineStr">
        <is>
          <t>学校</t>
        </is>
      </c>
      <c r="F753" t="inlineStr">
        <is>
          <t>法国阿维尼翁市 塔拉斯孔大道 138 号</t>
        </is>
      </c>
      <c r="G753" s="2" t="str">
        <f>=HYPERLINK("https://www.campus-avignon.fr/?utm_source=chatgpt.com", "https://www.campus-avignon.fr/?utm_source=chatgpt.com")</f>
        <v>https://www.campus-avignon.fr/?utm_source=chatgpt.com</v>
      </c>
      <c r="H753" t="inlineStr">
        <is>
          <t>阿维尼翁公立综合技术高中，以科学与技术教育为特色。设有男生寄宿部、餐厅及欧洲语言课程，覆盖普通、技术与继续教育，工科与理科方向实力较强。</t>
        </is>
      </c>
      <c r="I753"/>
      <c r="J753"/>
      <c r="K753"/>
      <c r="L753" s="2" t="str">
        <f>=HYPERLINK("https://www.campus-avignon.fr/contact/", "https://www.campus-avignon.fr/contact/")</f>
        <v>https://www.campus-avignon.fr/contact/</v>
      </c>
      <c r="M753" t="inlineStr">
        <is>
          <t>04 13 95 10 00</t>
        </is>
      </c>
      <c r="N753" s="3">
        <v>46107</v>
      </c>
      <c r="O753" t="inlineStr">
        <is>
          <t>已联系已回复</t>
        </is>
      </c>
      <c r="P753" t="inlineStr">
        <is>
          <t>表示宿舍已经租给其他剧团了，并且推荐了几家有宿舍的学校给我们-对方很热情</t>
        </is>
      </c>
      <c r="Q753" t="inlineStr">
        <is>
          <t>法国阿维尼翁剧团宣发+宿舍等</t>
        </is>
      </c>
      <c r="R753"/>
      <c r="S753"/>
      <c r="T753"/>
    </row>
    <row r="754" ht="25.5" customHeight="1">
      <c r="A754" t="inlineStr">
        <is>
          <t>泰奥多尔・欧巴内尔高中
Lycée Théodore Aubanel</t>
        </is>
      </c>
      <c r="B754" t="inlineStr">
        <is>
          <t>法国</t>
        </is>
      </c>
      <c r="C754" t="inlineStr">
        <is>
          <t>阿维尼翁</t>
        </is>
      </c>
      <c r="D754" t="inlineStr">
        <is>
          <t>高中</t>
        </is>
      </c>
      <c r="E754" t="inlineStr">
        <is>
          <t>学校</t>
        </is>
      </c>
      <c r="F754" t="inlineStr">
        <is>
          <t>法国阿维尼翁市 帕拉法尔纳里街 14 号，邮编 84000</t>
        </is>
      </c>
      <c r="G754" s="2" t="str">
        <f>=HYPERLINK("https://www.site.ac-aix-marseille.fr/lyc-aubanel/spip/?lang=fr", "https://www.site.ac-aix-marseille.fr/lyc-aubanel/spip/?lang=fr")</f>
        <v>https://www.site.ac-aix-marseille.fr/lyc-aubanel/spip/?lang=fr</v>
      </c>
      <c r="H754" t="inlineStr">
        <is>
          <t>位于市中心的公立普通高中，开设艺术、戏剧、电影、体育及欧洲课程特色方向，配备校内宿舍与餐厅，高考成绩稳定，人文与艺术氛围浓厚。</t>
        </is>
      </c>
      <c r="I754"/>
      <c r="J754"/>
      <c r="K754"/>
      <c r="L754" s="2" t="str">
        <f>=HYPERLINK("mailto:ce.0840004Y@ac-aix-marseille.fr", "ce.0840004Y@ac-aix-marseille.fr")</f>
        <v>ce.0840004Y@ac-aix-marseille.fr</v>
      </c>
      <c r="M754" t="inlineStr">
        <is>
          <t>04 90 16 36 00</t>
        </is>
      </c>
      <c r="N754" s="3">
        <v>46107</v>
      </c>
      <c r="O754" t="inlineStr">
        <is>
          <t>已联系未回复</t>
        </is>
      </c>
      <c r="P754"/>
      <c r="Q754" t="inlineStr">
        <is>
          <t>法国阿维尼翁剧团宣发+宿舍等</t>
        </is>
      </c>
      <c r="R754"/>
      <c r="S754"/>
      <c r="T754"/>
    </row>
    <row r="755" ht="25.5" customHeight="1">
      <c r="A755" t="inlineStr">
        <is>
          <t>拉萨尔综合高中
Lycée polyvalent La Salle</t>
        </is>
      </c>
      <c r="B755" t="inlineStr">
        <is>
          <t>法国</t>
        </is>
      </c>
      <c r="C755" t="inlineStr">
        <is>
          <t>阿维尼翁</t>
        </is>
      </c>
      <c r="D755" t="inlineStr">
        <is>
          <t>高中</t>
        </is>
      </c>
      <c r="E755" t="inlineStr">
        <is>
          <t>学校</t>
        </is>
      </c>
      <c r="F755" t="inlineStr">
        <is>
          <t>法国阿维尼翁市 七苦圣母街 9 号，邮编 84000</t>
        </is>
      </c>
      <c r="G755" s="2" t="str">
        <f>=HYPERLINK("https://www.education.gouv.fr/annuaire/84000/avignon/lycee/0840940r/lycee-polyvalent-la-salle.html", "https://www.education.gouv.fr/annuaire/84000/avignon/lycee/0840940r/lycee-polyvalent-la-salle.html")</f>
        <v>https://www.education.gouv.fr/annuaire/84000/avignon/lycee/0840940r/lycee-polyvalent-la-salle.html</v>
      </c>
      <c r="H755" t="inlineStr">
        <is>
          <t>私立天主教综合高中，提供普通教育与职业教育双路径，聚焦能源与数字技术专业。拥有寄宿服务，属于全球拉萨尔教育体系，实践与升学并重。</t>
        </is>
      </c>
      <c r="I755"/>
      <c r="J755"/>
      <c r="K755"/>
      <c r="L755" s="2" t="str">
        <f>=HYPERLINK("mailto:secretariat.lycee@lasalle84.org", "secretariat.lycee@lasalle84.org")</f>
        <v>secretariat.lycee@lasalle84.org</v>
      </c>
      <c r="M755" t="inlineStr">
        <is>
          <t>04 90 14 56 56</t>
        </is>
      </c>
      <c r="N755" s="3">
        <v>46107</v>
      </c>
      <c r="O755" t="inlineStr">
        <is>
          <t>已联系未回复</t>
        </is>
      </c>
      <c r="P755"/>
      <c r="Q755" t="inlineStr">
        <is>
          <t>法国阿维尼翁剧团宣发+宿舍等</t>
        </is>
      </c>
      <c r="R755"/>
      <c r="S755"/>
      <c r="T755"/>
    </row>
    <row r="756" ht="25.5" customHeight="1">
      <c r="A756" t="inlineStr">
        <is>
          <t>玛丽亚・卡萨雷斯职业高中
Lycée professionnel Maria Casarès</t>
        </is>
      </c>
      <c r="B756" t="inlineStr">
        <is>
          <t>法国</t>
        </is>
      </c>
      <c r="C756" t="inlineStr">
        <is>
          <t>阿维尼翁</t>
        </is>
      </c>
      <c r="D756" t="inlineStr">
        <is>
          <t>高中</t>
        </is>
      </c>
      <c r="E756" t="inlineStr">
        <is>
          <t>学校</t>
        </is>
      </c>
      <c r="F756" t="inlineStr">
        <is>
          <t>法国阿维尼翁市 巴瓦尔达日街 1 号，邮编 84000</t>
        </is>
      </c>
      <c r="G756" s="2" t="str">
        <f>=HYPERLINK("https://www.site.ac-aix-marseille.fr/lyc-maria-casares/spip/?lang=fr", "https://www.site.ac-aix-marseille.fr/lyc-maria-casares/spip/?lang=fr")</f>
        <v>https://www.site.ac-aix-marseille.fr/lyc-maria-casares/spip/?lang=fr</v>
      </c>
      <c r="H756" t="inlineStr">
        <is>
          <t>以法国著名演员命名的公立职业高中，面向服务、文创与商务相关职业培养技能型人才，注重实践教学与校企合作，为本地就业与继续教育输送人才。</t>
        </is>
      </c>
      <c r="I756"/>
      <c r="J756"/>
      <c r="K756"/>
      <c r="L756" s="2" t="str">
        <f>=HYPERLINK("mailto:ce.0840041N@ac-aix-marseille.fr", "ce.0840041N@ac-aix-marseille.fr")</f>
        <v>ce.0840041N@ac-aix-marseille.fr</v>
      </c>
      <c r="M756" t="inlineStr">
        <is>
          <t>04 90 13 45 45</t>
        </is>
      </c>
      <c r="N756" s="3">
        <v>46107</v>
      </c>
      <c r="O756" t="inlineStr">
        <is>
          <t>已联系未回复</t>
        </is>
      </c>
      <c r="P756"/>
      <c r="Q756" t="inlineStr">
        <is>
          <t>法国阿维尼翁剧团宣发+宿舍等</t>
        </is>
      </c>
      <c r="R756"/>
      <c r="S756"/>
      <c r="T756"/>
    </row>
    <row r="757" ht="25.5" customHeight="1">
      <c r="A757" t="inlineStr">
        <is>
          <t>勒内·沙尔高中
Lycée René Char</t>
        </is>
      </c>
      <c r="B757" t="inlineStr">
        <is>
          <t>法国</t>
        </is>
      </c>
      <c r="C757" t="inlineStr">
        <is>
          <t>阿维尼翁</t>
        </is>
      </c>
      <c r="D757" t="inlineStr">
        <is>
          <t>高中</t>
        </is>
      </c>
      <c r="E757" t="inlineStr">
        <is>
          <t>学校</t>
        </is>
      </c>
      <c r="F757" t="inlineStr">
        <is>
          <t>2 皮埃尔·奥古斯特·雷诺阿街
84004 阿维尼翁塞德克斯 1</t>
        </is>
      </c>
      <c r="G757" s="2" t="str">
        <f>=HYPERLINK("https://www.site.ac-aix-marseille.fr/lyc-char/spip/?lang=fr", "https://www.site.ac-aix-marseille.fr/lyc-char/spip/?lang=fr")</f>
        <v>https://www.site.ac-aix-marseille.fr/lyc-char/spip/?lang=fr</v>
      </c>
      <c r="H757" t="inlineStr">
        <is>
          <t>公立综合高中，以诗人勒内・沙尔命名。开设普通、技术与职业课程，重点覆盖环境、化工、工程、卫生安全等方向，提供校外合作寄宿，理工与应用技术见长。</t>
        </is>
      </c>
      <c r="I757"/>
      <c r="J757"/>
      <c r="K757"/>
      <c r="L757" s="2" t="str">
        <f>=HYPERLINK("mailto:ce.0840935k@ac-aix-marseille.fr", "ce.0840935k@ac-aix-marseille.fr")</f>
        <v>ce.0840935k@ac-aix-marseille.fr</v>
      </c>
      <c r="M757" t="inlineStr">
        <is>
          <t>04 90 88 04 04</t>
        </is>
      </c>
      <c r="N757" s="3">
        <v>46107</v>
      </c>
      <c r="O757" t="inlineStr">
        <is>
          <t>已联系未回复</t>
        </is>
      </c>
      <c r="P757"/>
      <c r="Q757" t="inlineStr">
        <is>
          <t>法国阿维尼翁剧团宣发+宿舍等</t>
        </is>
      </c>
      <c r="R757"/>
      <c r="S757"/>
      <c r="T757"/>
    </row>
    <row r="758" ht="25.5" customHeight="1">
      <c r="A758" t="inlineStr">
        <is>
          <t>沃克吕兹普罗旺斯学院阿维尼翁校区
Le Campus d’Avignon de l’Académie Vaucluse Provence</t>
        </is>
      </c>
      <c r="B758" t="inlineStr">
        <is>
          <t>法国</t>
        </is>
      </c>
      <c r="C758" t="inlineStr">
        <is>
          <t>阿维尼翁</t>
        </is>
      </c>
      <c r="D758" t="inlineStr">
        <is>
          <t>高校</t>
        </is>
      </c>
      <c r="E758" t="inlineStr">
        <is>
          <t>学校</t>
        </is>
      </c>
      <c r="F758" t="inlineStr">
        <is>
          <t>法国 普罗旺斯 - 阿尔卑斯 - 蓝色海岸大区 沃克吕兹省 阿维尼翁市费奈松小径 84000</t>
        </is>
      </c>
      <c r="G758" s="2" t="str">
        <f>=HYPERLINK("https://academie.vaucluse.cci.fr/academie/campus-cci/?utm_source=chatgpt.com#", "https://academie.vaucluse.cci.fr/academie/campus-cci/?utm_source=chatgpt.com#")</f>
        <v>https://academie.vaucluse.cci.fr/academie/campus-cci/?utm_source=chatgpt.com#</v>
      </c>
      <c r="H758" t="inlineStr">
        <is>
          <t>隶属于沃克吕兹工商会（CCI）的职业与继续教育机构，提供商务、管理、服务类职业证书及进阶培训，面向学生与在职人员，侧重产教融合与就业对接。</t>
        </is>
      </c>
      <c r="I758"/>
      <c r="J758"/>
      <c r="K758"/>
      <c r="L758" s="2" t="str">
        <f>=HYPERLINK("mailto:pointaccueil@vaucluse.cci.fr", "pointaccueil@vaucluse.cci.fr")</f>
        <v>pointaccueil@vaucluse.cci.fr</v>
      </c>
      <c r="M758" t="inlineStr">
        <is>
          <t>04 90 13 86 46</t>
        </is>
      </c>
      <c r="N758" s="3">
        <v>46107</v>
      </c>
      <c r="O758" t="inlineStr">
        <is>
          <t>已联系已回复</t>
        </is>
      </c>
      <c r="P758" t="inlineStr">
        <is>
          <t>校内没有宿舍，没有相关的场地</t>
        </is>
      </c>
      <c r="Q758" t="inlineStr">
        <is>
          <t>法国阿维尼翁剧团宣发+宿舍等</t>
        </is>
      </c>
      <c r="R758"/>
      <c r="S758"/>
      <c r="T758"/>
    </row>
    <row r="759" ht="25.5" customHeight="1">
      <c r="A759" t="inlineStr">
        <is>
          <t>巴斯德高等校区/樊尚・德・保罗校区
Campus Sup Pasteur / Campus Vincent de Paul</t>
        </is>
      </c>
      <c r="B759" t="inlineStr">
        <is>
          <t>法国</t>
        </is>
      </c>
      <c r="C759" t="inlineStr">
        <is>
          <t>阿维尼翁</t>
        </is>
      </c>
      <c r="D759" t="inlineStr">
        <is>
          <t>高校</t>
        </is>
      </c>
      <c r="E759" t="inlineStr">
        <is>
          <t>学校</t>
        </is>
      </c>
      <c r="F759" t="inlineStr">
        <is>
          <t>职业高中：阿维尼翁，奇龙街1号，邮编84000
大学：法国阿维尼翁市 奥拉尼耶尔路 710 号</t>
        </is>
      </c>
      <c r="G759" s="2" t="str">
        <f>=HYPERLINK("https://vincentdepaul84.fr/", "https://vincentdepaul84.fr/")</f>
        <v>https://vincentdepaul84.fr/</v>
      </c>
      <c r="H759" t="inlineStr">
        <is>
          <t>阿维尼翁高等教育园区，整合多类职业与高等培训项目。巴斯德校区偏理工与科学方向，樊尚・德・保罗校区以服务、健康与社会类专业为主，均对接本地高等教育与职业需求。</t>
        </is>
      </c>
      <c r="I759"/>
      <c r="J759"/>
      <c r="K759"/>
      <c r="L759" s="2" t="str">
        <f>=HYPERLINK("http://高中邮箱：contact.lpp@vincentdepaul84.fr大学邮箱：contact.cfc@vincentdepaul84.fr", "高中邮箱：contact.lpp@vincentdepaul84.fr大学邮箱：contact.cfc@vincentdepaul84.fr")</f>
        <v>高中邮箱：contact.lpp@vincentdepaul84.fr大学邮箱：contact.cfc@vincentdepaul84.fr</v>
      </c>
      <c r="M759" t="inlineStr">
        <is>
          <t>高中电话：04 90 27 23 90
大学电话：04 90 80 66 66</t>
        </is>
      </c>
      <c r="N759" s="3">
        <v>46107</v>
      </c>
      <c r="O759" t="inlineStr">
        <is>
          <t>已联系未回复</t>
        </is>
      </c>
      <c r="P759"/>
      <c r="Q759" t="inlineStr">
        <is>
          <t>法国阿维尼翁剧团宣发+宿舍等</t>
        </is>
      </c>
      <c r="R759"/>
      <c r="S759"/>
      <c r="T759"/>
    </row>
    <row r="760" ht="25.5" customHeight="1">
      <c r="A760" t="inlineStr">
        <is>
          <t>舞台网 / 戏剧现场网
Sceneweb</t>
        </is>
      </c>
      <c r="B760" t="inlineStr">
        <is>
          <t>法国</t>
        </is>
      </c>
      <c r="C760" t="inlineStr">
        <is>
          <t>巴黎</t>
        </is>
      </c>
      <c r="D760" t="inlineStr">
        <is>
          <t>平台</t>
        </is>
      </c>
      <c r="E760" t="inlineStr">
        <is>
          <t>戏剧文化</t>
        </is>
      </c>
      <c r="F760" t="inlineStr">
        <is>
          <t>巴黎-89 rue du Ranelagh – 75016 Paris</t>
        </is>
      </c>
      <c r="G760" s="2" t="str">
        <f>=HYPERLINK("https://sceneweb.fr/contact/", "https://sceneweb.fr/contact/")</f>
        <v>https://sceneweb.fr/contact/</v>
      </c>
      <c r="H760" t="inlineStr">
        <is>
          <t>Sceneweb 是法国领先的戏剧资讯平台，致力于记录和传播当代戏剧和表演艺术活动。网站提供演出信息、剧评、访谈以及行业新闻，是戏剧爱好者和专业人士的重要参考。它涵盖戏剧、舞蹈、音乐剧等多种表演形式。Sceneweb 还积极参与文化项目推广，支持新兴艺术家的展示机会。平台内容丰富，兼具资讯性和学术价值，是法国戏剧界的数字档案中心。</t>
        </is>
      </c>
      <c r="I760"/>
      <c r="J760"/>
      <c r="K760"/>
      <c r="L760" s="2" t="str">
        <f>=HYPERLINK("mailto:redaction@sceneweb.fr", "redaction@sceneweb.fr")</f>
        <v>redaction@sceneweb.fr</v>
      </c>
      <c r="M760"/>
      <c r="N760" s="3">
        <v>46114</v>
      </c>
      <c r="O760" t="inlineStr">
        <is>
          <t>已联系未回复</t>
        </is>
      </c>
      <c r="P760"/>
      <c r="Q760" t="inlineStr">
        <is>
          <t>法国阿维尼翁剧团宣发+宿舍等</t>
        </is>
      </c>
      <c r="R760"/>
      <c r="S760"/>
      <c r="T760"/>
    </row>
    <row r="761" ht="25.5" customHeight="1">
      <c r="A761" t="inlineStr">
        <is>
          <t>露台剧场 / 露台艺术空间
La Terrasse</t>
        </is>
      </c>
      <c r="B761" t="inlineStr">
        <is>
          <t>法国</t>
        </is>
      </c>
      <c r="C761" t="inlineStr">
        <is>
          <t>巴黎</t>
        </is>
      </c>
      <c r="D761" t="inlineStr">
        <is>
          <t>平台</t>
        </is>
      </c>
      <c r="E761" t="inlineStr">
        <is>
          <t>戏剧文化</t>
        </is>
      </c>
      <c r="F761" t="inlineStr">
        <is>
          <t>巴黎-4, avenue de Corbéra, Paris, France, 75012</t>
        </is>
      </c>
      <c r="G761" s="2" t="str">
        <f>=HYPERLINK("https://www.journal-laterrasse.fr/", "https://www.journal-laterrasse.fr/")</f>
        <v>https://www.journal-laterrasse.fr/</v>
      </c>
      <c r="H761" t="inlineStr">
        <is>
          <t>La Terrasse 是一个聚焦当代戏剧和表演艺术的专业媒体和平台。它以评论、专题报道和艺术分析为特色，推动戏剧艺术的公共讨论。平台关注年轻艺术家和创新作品，为观众提供前沿的文化资讯。La Terrasse 也与多家剧场和艺术机构合作，促进创意交流和跨界合作。其内容兼具深度与可读性，受到艺术界专业人士的高度认可。</t>
        </is>
      </c>
      <c r="I761"/>
      <c r="J761"/>
      <c r="K761"/>
      <c r="L761" s="2" t="str">
        <f>=HYPERLINK("mailto:la.terrasse@wanadoo.fr", "la.terrasse@wanadoo.fr")</f>
        <v>la.terrasse@wanadoo.fr</v>
      </c>
      <c r="M761" t="inlineStr">
        <is>
          <t>0153020660</t>
        </is>
      </c>
      <c r="N761" s="3">
        <v>46114</v>
      </c>
      <c r="O761" t="inlineStr">
        <is>
          <t>已联系未回复</t>
        </is>
      </c>
      <c r="P761"/>
      <c r="Q761" t="inlineStr">
        <is>
          <t>法国阿维尼翁剧团宣发+宿舍等</t>
        </is>
      </c>
      <c r="R761"/>
      <c r="S761"/>
      <c r="T761"/>
    </row>
    <row r="762" ht="25.5" customHeight="1">
      <c r="A762" t="inlineStr">
        <is>
          <t>《戏剧杂志》
Théâtre(s) Magazine</t>
        </is>
      </c>
      <c r="B762" t="inlineStr">
        <is>
          <t>法国</t>
        </is>
      </c>
      <c r="C762" t="inlineStr">
        <is>
          <t>南特</t>
        </is>
      </c>
      <c r="D762" t="inlineStr">
        <is>
          <t>出版社</t>
        </is>
      </c>
      <c r="E762" t="inlineStr">
        <is>
          <t>戏剧文化</t>
        </is>
      </c>
      <c r="F762" t="inlineStr">
        <is>
          <t>南特-11, rue des Olivettes – CS 41805 – 44018 Nantes Cedex 1 – France</t>
        </is>
      </c>
      <c r="G762" s="2" t="str">
        <f>=HYPERLINK("https://www.magazinetheatres.com/", "https://www.magazinetheatres.com/")</f>
        <v>https://www.magazinetheatres.com/</v>
      </c>
      <c r="H762" t="inlineStr">
        <is>
          <t>Théâtre(s) Magazine 是法国知名戏剧期刊，自创刊以来专注于戏剧艺术的理论研究和实践报道。杂志内容涵盖剧评、艺术评论、创作访谈及国际戏剧动态。它以严谨的学术态度和敏锐的文化洞察力闻名，是戏剧从业者和学者的重要资源。Théâtre(s) Magazine 鼓励对现代戏剧创新形式的探索，促进跨文化的艺术交流。</t>
        </is>
      </c>
      <c r="I762"/>
      <c r="J762"/>
      <c r="K762"/>
      <c r="L762" s="2" t="str">
        <f>=HYPERLINK("mailto:contact@magazinetheatres.com", "contact@magazinetheatres.com")</f>
        <v>contact@magazinetheatres.com</v>
      </c>
      <c r="M762" t="inlineStr">
        <is>
          <t>02 40 20 60 20</t>
        </is>
      </c>
      <c r="N762" s="3">
        <v>46114</v>
      </c>
      <c r="O762" t="inlineStr">
        <is>
          <t>已联系未回复</t>
        </is>
      </c>
      <c r="P762"/>
      <c r="Q762" t="inlineStr">
        <is>
          <t>法国阿维尼翁剧团宣发+宿舍等</t>
        </is>
      </c>
      <c r="R762"/>
      <c r="S762"/>
      <c r="T762"/>
    </row>
    <row r="763" ht="25.5" customHeight="1">
      <c r="A763" t="inlineStr">
        <is>
          <t>《I/O 文化通讯》
I/O Gazette</t>
        </is>
      </c>
      <c r="B763" t="inlineStr">
        <is>
          <t>法国</t>
        </is>
      </c>
      <c r="C763" t="inlineStr">
        <is>
          <t>巴黎</t>
        </is>
      </c>
      <c r="D763" t="inlineStr">
        <is>
          <t>平台</t>
        </is>
      </c>
      <c r="E763" t="inlineStr">
        <is>
          <t>戏剧文化</t>
        </is>
      </c>
      <c r="F763" t="inlineStr">
        <is>
          <t>法国</t>
        </is>
      </c>
      <c r="G763" s="2" t="str">
        <f>=HYPERLINK("https://www.iogazette.fr/", "https://www.iogazette.fr/")</f>
        <v>https://www.iogazette.fr/</v>
      </c>
      <c r="H763" t="inlineStr">
        <is>
          <t>I/O Gazette 是一个专注于文化、戏剧和艺术领域的新闻与评论平台。它提供最新的演出资讯、艺术趋势分析以及行业观察。平台强调对独立戏剧和实验艺术的关注，支持新兴艺术家的创作展示。I/O Gazette 还举办专题讨论和文化活动，推动艺术界的互动与交流。其内容及时、视角独特，兼具学术性与可读性。</t>
        </is>
      </c>
      <c r="I763"/>
      <c r="J763"/>
      <c r="K763"/>
      <c r="L763" s="2" t="str">
        <f>=HYPERLINK("mailto:contact@iogazette.fr", "contact@iogazette.fr")</f>
        <v>contact@iogazette.fr</v>
      </c>
      <c r="M763"/>
      <c r="N763" s="3">
        <v>46114</v>
      </c>
      <c r="O763" t="inlineStr">
        <is>
          <t>已联系未回复</t>
        </is>
      </c>
      <c r="P763"/>
      <c r="Q763" t="inlineStr">
        <is>
          <t>法国阿维尼翁剧团宣发+宿舍等</t>
        </is>
      </c>
      <c r="R763"/>
      <c r="S763"/>
      <c r="T763"/>
    </row>
    <row r="764" ht="25.5" customHeight="1">
      <c r="A764" t="inlineStr">
        <is>
          <t>三声锣响
Les Trois Coups</t>
        </is>
      </c>
      <c r="B764" t="inlineStr">
        <is>
          <t>法国</t>
        </is>
      </c>
      <c r="C764" t="inlineStr">
        <is>
          <t>巴黎</t>
        </is>
      </c>
      <c r="D764" t="inlineStr">
        <is>
          <t>平台</t>
        </is>
      </c>
      <c r="E764" t="inlineStr">
        <is>
          <t>戏剧文化</t>
        </is>
      </c>
      <c r="F764" t="inlineStr">
        <is>
          <t>法国-77 Boulevard Van Gogh - 59650 Villeneuve d’Ascq</t>
        </is>
      </c>
      <c r="G764" s="2" t="str">
        <f>=HYPERLINK("https://lestroiscoups.fr/", "https://lestroiscoups.fr/")</f>
        <v>https://lestroiscoups.fr/</v>
      </c>
      <c r="H764" t="inlineStr">
        <is>
          <t>Les Trois Coups 是法国戏剧界的重要资讯平台，专注于戏剧演出报道与评论。它以深入的剧评和创作者访谈为特色，记录法国各地的舞台动态。平台还提供专业的行业资讯和艺术活动信息，服务于戏剧专业人士和热爱舞台艺术的公众。Les Trois Coups 鼓励戏剧创新与青年艺术家发展，是连接创作者与观众的重要桥梁。</t>
        </is>
      </c>
      <c r="I764"/>
      <c r="J764"/>
      <c r="K764"/>
      <c r="L764" s="2" t="str">
        <f>=HYPERLINK("mailto:contact@lestroiscoups.fr", "contact@lestroiscoups.fr")</f>
        <v>contact@lestroiscoups.fr</v>
      </c>
      <c r="M764" t="inlineStr">
        <is>
          <t>+33 (0)3 20 61 96 90</t>
        </is>
      </c>
      <c r="N764" s="3">
        <v>46114</v>
      </c>
      <c r="O764" t="inlineStr">
        <is>
          <t>已联系未回复</t>
        </is>
      </c>
      <c r="P764"/>
      <c r="Q764" t="inlineStr">
        <is>
          <t>法国阿维尼翁剧团宣发+宿舍等</t>
        </is>
      </c>
      <c r="R764"/>
      <c r="S764"/>
      <c r="T764"/>
    </row>
    <row r="765" ht="25.5" customHeight="1">
      <c r="A765" t="inlineStr">
        <is>
          <t>M 舞台
M La Scène</t>
        </is>
      </c>
      <c r="B765" t="inlineStr">
        <is>
          <t>法国</t>
        </is>
      </c>
      <c r="C765" t="inlineStr">
        <is>
          <t>巴黎</t>
        </is>
      </c>
      <c r="D765" t="inlineStr">
        <is>
          <t>媒体</t>
        </is>
      </c>
      <c r="E765" t="inlineStr">
        <is>
          <t>戏剧文化</t>
        </is>
      </c>
      <c r="F765" t="inlineStr">
        <is>
          <t>法国</t>
        </is>
      </c>
      <c r="G765" s="2" t="str">
        <f>=HYPERLINK("https://mlascene-blog-theatre.fr/web-media-theatre/", "https://mlascene-blog-theatre.fr/web-media-theatre/")</f>
        <v>https://mlascene-blog-theatre.fr/web-media-theatre/</v>
      </c>
      <c r="H765" t="inlineStr">
        <is>
          <t>M La Scène 是法国的专业戏剧媒体，关注当代舞台艺术的发展与创新。平台报道戏剧演出、艺术家专访以及创作评论，强调对独立和实验剧场的关注。它为戏剧从业者提供行业资讯、趋势分析及学术讨论的渠道。M La Scène 也参与文化推广项目，促进观众与艺术家之间的互动。其内容兼具专业性和可读性，是舞台艺术领域的重要参考资源。</t>
        </is>
      </c>
      <c r="I765"/>
      <c r="J765"/>
      <c r="K765"/>
      <c r="L765" s="2" t="str">
        <f>=HYPERLINK("mailto:mlascene.blog@gmail.com", "mlascene.blog@gmail.com")</f>
        <v>mlascene.blog@gmail.com</v>
      </c>
      <c r="M765"/>
      <c r="N765" s="3">
        <v>46114</v>
      </c>
      <c r="O765" t="inlineStr">
        <is>
          <t>已联系未回复</t>
        </is>
      </c>
      <c r="P765"/>
      <c r="Q765" t="inlineStr">
        <is>
          <t>法国阿维尼翁剧团宣发+宿舍等</t>
        </is>
      </c>
      <c r="R765"/>
      <c r="S765"/>
      <c r="T765"/>
    </row>
    <row r="766" ht="25.5" customHeight="1">
      <c r="A766" t="inlineStr">
        <is>
          <t>法国戏剧作家与作曲家协会
SACD</t>
        </is>
      </c>
      <c r="B766" t="inlineStr">
        <is>
          <t>法国</t>
        </is>
      </c>
      <c r="C766" t="inlineStr">
        <is>
          <t>巴黎</t>
        </is>
      </c>
      <c r="D766" t="inlineStr">
        <is>
          <t>协会</t>
        </is>
      </c>
      <c r="E766" t="inlineStr">
        <is>
          <t>戏剧文化</t>
        </is>
      </c>
      <c r="F766" t="inlineStr">
        <is>
          <t>法国</t>
        </is>
      </c>
      <c r="G766" s="2" t="str">
        <f>=HYPERLINK("https://www.sacd.fr/fr/la-sacd-partenaire-du-festival-avignon", "https://www.sacd.fr/fr/la-sacd-partenaire-du-festival-avignon")</f>
        <v>https://www.sacd.fr/fr/la-sacd-partenaire-du-festival-avignon</v>
      </c>
      <c r="H766" t="inlineStr">
        <is>
          <t>SACD（Société des Auteurs et Compositeurs Dramatiques）是法国专业的戏剧和音乐作品创作者协会。它保护作家和作曲家的版权权益，确保创作收益的合理分配。协会同时推动戏剧和多媒体艺术的发展，提供培训、奖项及文化交流项目。SACD 组织各类论坛和研讨会，鼓励创作与创新。它是法国文化艺术创作者的重要支持机构，具有广泛的行业影响力。</t>
        </is>
      </c>
      <c r="I766"/>
      <c r="J766"/>
      <c r="K766"/>
      <c r="L766" s="2" t="str">
        <f>=HYPERLINK("mailto:international@sacd.fr", "international@sacd.fr")</f>
        <v>international@sacd.fr</v>
      </c>
      <c r="M766" t="inlineStr">
        <is>
          <t>+33 1 40 23 44 55</t>
        </is>
      </c>
      <c r="N766" s="3">
        <v>46114</v>
      </c>
      <c r="O766" t="inlineStr">
        <is>
          <t>已联系未回复</t>
        </is>
      </c>
      <c r="P766"/>
      <c r="Q766" t="inlineStr">
        <is>
          <t>法国阿维尼翁剧团宣发+宿舍等</t>
        </is>
      </c>
      <c r="R766"/>
      <c r="S766"/>
      <c r="T766"/>
    </row>
    <row r="767" ht="25.5" customHeight="1">
      <c r="A767" t="inlineStr">
        <is>
          <t>普罗阿尔蒂
Proarti</t>
        </is>
      </c>
      <c r="B767" t="inlineStr">
        <is>
          <t>法国</t>
        </is>
      </c>
      <c r="C767" t="inlineStr">
        <is>
          <t>巴黎</t>
        </is>
      </c>
      <c r="D767" t="inlineStr">
        <is>
          <t>平台</t>
        </is>
      </c>
      <c r="E767" t="inlineStr">
        <is>
          <t>戏剧文化</t>
        </is>
      </c>
      <c r="F767" t="inlineStr">
        <is>
          <t>巴黎- 14 rue nicolet, 75018, Paris</t>
        </is>
      </c>
      <c r="G767" s="2" t="str">
        <f>=HYPERLINK("https://www.proarti.fr/about-us/nous-contacter", "https://www.proarti.fr/about-us/nous-contacter")</f>
        <v>https://www.proarti.fr/about-us/nous-contacter</v>
      </c>
      <c r="H767" t="inlineStr">
        <is>
          <t>Proarti 是法国的文化艺术众筹平台，致力于支持艺术项目的融资和推广。它连接艺术家、机构和公众，为戏剧、音乐、视觉艺术等提供资金和宣传渠道。平台鼓励创新创作，并提供项目管理和专业咨询服务。Proarti 力求促进艺术与社会的互动，使更多创意作品得以实现。它已成为法国艺术领域重要的创意孵化和支持平台。</t>
        </is>
      </c>
      <c r="I767"/>
      <c r="J767"/>
      <c r="K767"/>
      <c r="L767" s="2" t="str">
        <f>=HYPERLINK("mailto:contact@proarti.org", "contact@proarti.org")</f>
        <v>contact@proarti.org</v>
      </c>
      <c r="M767" t="inlineStr">
        <is>
          <t>+33 6 52 37 93 09</t>
        </is>
      </c>
      <c r="N767" s="3">
        <v>46114</v>
      </c>
      <c r="O767" t="inlineStr">
        <is>
          <t>已联系未回复</t>
        </is>
      </c>
      <c r="P767"/>
      <c r="Q767" t="inlineStr">
        <is>
          <t>法国阿维尼翁剧团宣发+宿舍等</t>
        </is>
      </c>
      <c r="R767"/>
      <c r="S767"/>
      <c r="T767"/>
    </row>
    <row r="768" ht="25.5" customHeight="1">
      <c r="A768" t="inlineStr">
        <is>
          <t>国家戏剧中心协会ACDN（Association des Centres dramatiques nationaux）</t>
        </is>
      </c>
      <c r="B768" t="inlineStr">
        <is>
          <t>法国</t>
        </is>
      </c>
      <c r="C768" t="inlineStr">
        <is>
          <t>阿维尼翁</t>
        </is>
      </c>
      <c r="D768" t="inlineStr">
        <is>
          <t>协会</t>
        </is>
      </c>
      <c r="E768" t="inlineStr">
        <is>
          <t>戏剧文化</t>
        </is>
      </c>
      <c r="F768" t="inlineStr">
        <is>
          <t>阿维尼翁-Maison Jean Vilar
8 rue de Mons
84000 Avignon</t>
        </is>
      </c>
      <c r="G768" s="2" t="str">
        <f>=HYPERLINK("https://www.asso-acdn.fr/nous-contacter/", "https://www.asso-acdn.fr/nous-contacter/")</f>
        <v>https://www.asso-acdn.fr/nous-contacter/</v>
      </c>
      <c r="H768" t="inlineStr">
        <is>
          <t>ACDN 是法国国家级戏剧中心的行业协会，涵盖全国各地的剧场和创作机构。协会致力于推动公共戏剧事业发展，协调政策、资源和项目合作。ACDN 支持原创戏剧和新锐艺术家，为观众提供高质量舞台体验。协会组织专业交流、培训及文化活动，促进戏剧产业的可持续发展。它是法国公共戏剧网络的重要核心。</t>
        </is>
      </c>
      <c r="I768"/>
      <c r="J768"/>
      <c r="K768"/>
      <c r="L768" s="2" t="str">
        <f>=HYPERLINK("mailto:contact@asso-acdn.fr", "contact@asso-acdn.fr")</f>
        <v>contact@asso-acdn.fr</v>
      </c>
      <c r="M768"/>
      <c r="N768" s="3">
        <v>46114</v>
      </c>
      <c r="O768" t="inlineStr">
        <is>
          <t>已联系未回复</t>
        </is>
      </c>
      <c r="P768"/>
      <c r="Q768" t="inlineStr">
        <is>
          <t>法国阿维尼翁剧团宣发+宿舍等</t>
        </is>
      </c>
      <c r="R768"/>
      <c r="S768"/>
      <c r="T768"/>
    </row>
    <row r="769" ht="25.5" customHeight="1">
      <c r="A769" t="inlineStr">
        <is>
          <t>链条戏剧网络
Réseau Chainon</t>
        </is>
      </c>
      <c r="B769" t="inlineStr">
        <is>
          <t>法国</t>
        </is>
      </c>
      <c r="C769" t="inlineStr">
        <is>
          <t>拉瓦尔</t>
        </is>
      </c>
      <c r="D769" t="inlineStr">
        <is>
          <t>网络</t>
        </is>
      </c>
      <c r="E769" t="inlineStr">
        <is>
          <t>戏剧文化</t>
        </is>
      </c>
      <c r="F769" t="inlineStr">
        <is>
          <t>拉瓦尔-Espace Scomam 4, rue de l’Ermitage
53000 Laval</t>
        </is>
      </c>
      <c r="G769" s="2" t="str">
        <f>=HYPERLINK("https://www.lechainon.fr/le-chainon/", "https://www.lechainon.fr/le-chainon/")</f>
        <v>https://www.lechainon.fr/le-chainon/</v>
      </c>
      <c r="H769" t="inlineStr">
        <is>
          <t>Réseau Chainon 是法国的独立剧场与戏剧机构网络，旨在加强各成员间的协作与资源共享。平台提供行业资讯、演出推广及联合项目机会。它支持实验性戏剧和新锐艺术家，为独立创作提供发展空间。Réseau Chainon 鼓励跨地区合作，推动创新和文化多样性。网络成员包括剧场、公司及创意团体，是法国独立舞台的重要生态圈。</t>
        </is>
      </c>
      <c r="I769"/>
      <c r="J769"/>
      <c r="K769"/>
      <c r="L769" s="2" t="str">
        <f>=HYPERLINK("mailto:billetterie@lechainon.fr", "billetterie@lechainon.fr")</f>
        <v>billetterie@lechainon.fr</v>
      </c>
      <c r="M769" t="inlineStr">
        <is>
          <t>02 43 56 01 29</t>
        </is>
      </c>
      <c r="N769" s="3">
        <v>46114</v>
      </c>
      <c r="O769" t="inlineStr">
        <is>
          <t>已联系未回复</t>
        </is>
      </c>
      <c r="P769"/>
      <c r="Q769" t="inlineStr">
        <is>
          <t>法国阿维尼翁剧团宣发+宿舍等</t>
        </is>
      </c>
      <c r="R769"/>
      <c r="S769"/>
      <c r="T769"/>
    </row>
    <row r="770" ht="25.5" customHeight="1">
      <c r="A770" t="inlineStr">
        <is>
          <t>独立舞台
La Scène Indépendante</t>
        </is>
      </c>
      <c r="B770" t="inlineStr">
        <is>
          <t>法国</t>
        </is>
      </c>
      <c r="C770" t="inlineStr">
        <is>
          <t>巴黎</t>
        </is>
      </c>
      <c r="D770" t="inlineStr">
        <is>
          <t>平台</t>
        </is>
      </c>
      <c r="E770" t="inlineStr">
        <is>
          <t>戏剧文化</t>
        </is>
      </c>
      <c r="F770" t="inlineStr">
        <is>
          <t>巴黎-8 rue Sainte-Anne, 75002 Paris</t>
        </is>
      </c>
      <c r="G770" s="2" t="str">
        <f>=HYPERLINK("https://www.lasceneindependante.org/la-scene-independante-au-festival-off-avignon-2026-une-presence-engagee-au-service-des-professionnelles/", "https://www.lasceneindependante.org/la-scene-independante-au-festival-off-avignon-2026-une-presence-engagee-au-service-des-professionnelles/")</f>
        <v>https://www.lasceneindependante.org/la-scene-independante-au-festival-off-avignon-2026-une-presence-engagee-au-service-des-professionnelles/</v>
      </c>
      <c r="H770" t="inlineStr">
        <is>
          <t>La Scène Indépendante 是法国独立剧场与小型表演团体的专业平台。它提供演出信息、艺术评论、培训及政策支持，促进创作者发展。平台强调自由创作和实验艺术，为新锐艺术家提供展示和合作机会。La Scène Indépendante 组织文化活动和行业交流，强化独立舞台的可持续发展。它是法国独立戏剧社区的重要纽带。</t>
        </is>
      </c>
      <c r="I770"/>
      <c r="J770"/>
      <c r="K770"/>
      <c r="L770" s="2" t="str">
        <f>=HYPERLINK("mailto:c.jongenelen@lasceneindependante.org", "c.jongenelen@lasceneindependante.org")</f>
        <v>c.jongenelen@lasceneindependante.org</v>
      </c>
      <c r="M770" t="inlineStr">
        <is>
          <t>01 42 97 52 27</t>
        </is>
      </c>
      <c r="N770" s="3">
        <v>46114</v>
      </c>
      <c r="O770" t="inlineStr">
        <is>
          <t>已联系未回复</t>
        </is>
      </c>
      <c r="P770"/>
      <c r="Q770" t="inlineStr">
        <is>
          <t>法国阿维尼翁剧团宣发+宿舍等</t>
        </is>
      </c>
      <c r="R770"/>
      <c r="S770"/>
      <c r="T770"/>
    </row>
    <row r="771" ht="25.5" customHeight="1">
      <c r="A771" t="inlineStr">
        <is>
          <t>蛙之悦
Froggy’s Delight</t>
        </is>
      </c>
      <c r="B771" t="inlineStr">
        <is>
          <t>法国</t>
        </is>
      </c>
      <c r="C771" t="inlineStr">
        <is>
          <t>巴黎</t>
        </is>
      </c>
      <c r="D771" t="inlineStr">
        <is>
          <t>媒体</t>
        </is>
      </c>
      <c r="E771" t="inlineStr">
        <is>
          <t>戏剧文化</t>
        </is>
      </c>
      <c r="F771" t="inlineStr">
        <is>
          <t>法国</t>
        </is>
      </c>
      <c r="G771" s="2" t="str">
        <f>=HYPERLINK("https://froggydelight.com/", "https://froggydelight.com/")</f>
        <v>https://froggydelight.com/</v>
      </c>
      <c r="H771" t="inlineStr">
        <is>
          <t>Froggy’s Delight 是法国一家关注戏剧和现场表演的文化媒体平台。它致力于报道戏剧演出、艺术节资讯以及创作者动态，兼顾专业性与趣味性。平台关注独立和创新作品，支持青年艺术家和新锐导演的创作展示。Froggy’s Delight 还组织专题讨论、艺术活动和观众互动，促进艺术交流与传播。其内容覆盖广泛，从评论、访谈到演出推荐，为观众提供丰富的文化体验。</t>
        </is>
      </c>
      <c r="I771"/>
      <c r="J771"/>
      <c r="K771"/>
      <c r="L771" s="2" t="str">
        <f>=HYPERLINK("mailto:info@froggydelight.com", "info@froggydelight.com")</f>
        <v>info@froggydelight.com</v>
      </c>
      <c r="M771"/>
      <c r="N771" s="3">
        <v>46114</v>
      </c>
      <c r="O771" t="inlineStr">
        <is>
          <t>已联系未回复</t>
        </is>
      </c>
      <c r="P771"/>
      <c r="Q771" t="inlineStr">
        <is>
          <t>法国阿维尼翁剧团宣发+宿舍等</t>
        </is>
      </c>
      <c r="R771"/>
      <c r="S771"/>
      <c r="T771"/>
    </row>
    <row r="772" ht="25.5" customHeight="1">
      <c r="A772" t="inlineStr">
        <is>
          <t>旭格国际两合公司
/Schüco International KG</t>
        </is>
      </c>
      <c r="B772" t="inlineStr">
        <is>
          <t>德国</t>
        </is>
      </c>
      <c r="C772" t="inlineStr">
        <is>
          <t>比勒费尔德市</t>
        </is>
      </c>
      <c r="D772" t="inlineStr">
        <is>
          <t>铝业公司</t>
        </is>
      </c>
      <c r="E772" t="inlineStr">
        <is>
          <t>铝业铸造</t>
        </is>
      </c>
      <c r="F772" t="inlineStr">
        <is>
          <t>德国北莱茵-威斯特法伦州 比勒费尔德市，卡罗琳街 1-15号，邮政信箱 102553，邮编 33609</t>
        </is>
      </c>
      <c r="G772" s="2" t="str">
        <f>=HYPERLINK("https://www.schueco.com/com", "https://www.schueco.com/com")</f>
        <v>https://www.schueco.com/com</v>
      </c>
      <c r="H772" t="inlineStr">
        <is>
          <t>1951 年成立于德国比勒菲尔德，是全球领先的建筑外立面系统供应商。主营铝合金、钢、PVC-U 材质的门窗、幕墙、遮阳及智能建筑系统，业务覆盖 80 余国，以德国工艺与可持续方案服务住宅与商业建筑项目</t>
        </is>
      </c>
      <c r="I772"/>
      <c r="J772"/>
      <c r="K772"/>
      <c r="L772" s="2" t="str">
        <f>=HYPERLINK("mailto:info@schueco.com", "info@schueco.com")</f>
        <v>info@schueco.com</v>
      </c>
      <c r="M772" t="inlineStr">
        <is>
          <t>+49 521 7830</t>
        </is>
      </c>
      <c r="N772" s="3">
        <v>46114</v>
      </c>
      <c r="O772" t="inlineStr">
        <is>
          <t>已联系未回复</t>
        </is>
      </c>
      <c r="P772"/>
      <c r="Q772" t="inlineStr">
        <is>
          <t>上海铝业协会-德国奥地利匈牙利</t>
        </is>
      </c>
      <c r="R772"/>
      <c r="S772"/>
      <c r="T772"/>
    </row>
    <row r="773" ht="25.5" customHeight="1">
      <c r="A773" t="inlineStr">
        <is>
          <t>海洛尔—约翰·亨肯约翰有限公司两合公司
/heroal – Johann Henkenjohann GmbH &amp; Co. KG</t>
        </is>
      </c>
      <c r="B773" t="inlineStr">
        <is>
          <t>德国</t>
        </is>
      </c>
      <c r="C773" t="inlineStr">
        <is>
          <t>费尔市</t>
        </is>
      </c>
      <c r="D773" t="inlineStr">
        <is>
          <t>铝业公司</t>
        </is>
      </c>
      <c r="E773" t="inlineStr">
        <is>
          <t>铝业铸造</t>
        </is>
      </c>
      <c r="F773" t="inlineStr">
        <is>
          <t>Ö德国费尔市，33415，厄斯特维厄大街 80 号</t>
        </is>
      </c>
      <c r="G773" s="2" t="str">
        <f>=HYPERLINK("https://www.heroal.de/en/", "https://www.heroal.de/en/")</f>
        <v>https://www.heroal.de/en/</v>
      </c>
      <c r="H773" t="inlineStr">
        <is>
          <t>1874 年创立的德国家族企业，总部位于费尔市，是全球铝系统解决方案标杆企业。专注卷帘、遮阳、门窗、幕墙等铝制系统研发制造，产品以高品质、高定制化著称，服务全球可持续建筑项目。</t>
        </is>
      </c>
      <c r="I773"/>
      <c r="J773"/>
      <c r="K773"/>
      <c r="L773" s="2" t="str">
        <f>=HYPERLINK("mailto:info@heroal.de", "info@heroal.de")</f>
        <v>info@heroal.de</v>
      </c>
      <c r="M773" t="inlineStr">
        <is>
          <t>+49 5246 507-0</t>
        </is>
      </c>
      <c r="N773" s="3">
        <v>46114</v>
      </c>
      <c r="O773" t="inlineStr">
        <is>
          <t>已联系未回复</t>
        </is>
      </c>
      <c r="P773"/>
      <c r="Q773" t="inlineStr">
        <is>
          <t>上海铝业协会-德国奥地利匈牙利</t>
        </is>
      </c>
      <c r="R773"/>
      <c r="S773"/>
      <c r="T773"/>
    </row>
    <row r="774" ht="25.5" customHeight="1">
      <c r="A774" t="inlineStr">
        <is>
          <t>BUG 铝系统
/BUG Aluminium-Systeme</t>
        </is>
      </c>
      <c r="B774" t="inlineStr">
        <is>
          <t>德国</t>
        </is>
      </c>
      <c r="C774" t="inlineStr">
        <is>
          <t>福格特市</t>
        </is>
      </c>
      <c r="D774" t="inlineStr">
        <is>
          <t>铝业公司</t>
        </is>
      </c>
      <c r="E774" t="inlineStr">
        <is>
          <t>铝业铸造</t>
        </is>
      </c>
      <c r="F774" t="inlineStr">
        <is>
          <t>德国福格特市，88267，沙亨大街 14 号</t>
        </is>
      </c>
      <c r="G774" s="2" t="str">
        <f>=HYPERLINK("https://www.bug.de/en", "https://www.bug.de/en")</f>
        <v>https://www.bug.de/en</v>
      </c>
      <c r="H774" t="inlineStr">
        <is>
          <t>德国 STEP-G 集团旗下品牌，深耕建筑铝系统超七十年。聚焦门窗、幕墙、平屋顶等铝型材系统，提供兼顾功能、安全与设计的一体化解决方案，是建筑与工业领域信赖的专业供应商。</t>
        </is>
      </c>
      <c r="I774"/>
      <c r="J774"/>
      <c r="K774"/>
      <c r="L774" s="2" t="str">
        <f>=HYPERLINK("mailto:bug.service@step-g.de", "bug.service@step-g.de")</f>
        <v>bug.service@step-g.de</v>
      </c>
      <c r="M774" t="inlineStr">
        <is>
          <t>+49 (0)7529 999-0</t>
        </is>
      </c>
      <c r="N774" s="3">
        <v>46114</v>
      </c>
      <c r="O774" t="inlineStr">
        <is>
          <t>已联系未回复</t>
        </is>
      </c>
      <c r="P774"/>
      <c r="Q774" t="inlineStr">
        <is>
          <t>上海铝业协会-德国奥地利匈牙利</t>
        </is>
      </c>
      <c r="R774"/>
      <c r="S774"/>
      <c r="T774"/>
    </row>
    <row r="775" ht="25.5" customHeight="1">
      <c r="A775" t="inlineStr">
        <is>
          <t>阿亨巴赫布施许滕有限公司两合公司
/Achenbach Buschhütten GmbH &amp; Co. KG</t>
        </is>
      </c>
      <c r="B775" t="inlineStr">
        <is>
          <t>德国</t>
        </is>
      </c>
      <c r="C775" t="inlineStr">
        <is>
          <t>克罗伊茨塔尔市</t>
        </is>
      </c>
      <c r="D775" t="inlineStr">
        <is>
          <t>铝业公司</t>
        </is>
      </c>
      <c r="E775" t="inlineStr">
        <is>
          <t>铝业铸造</t>
        </is>
      </c>
      <c r="F775" t="inlineStr">
        <is>
          <t>德国克罗伊茨塔尔市，57223，锡根大街 152 号</t>
        </is>
      </c>
      <c r="G775" s="2" t="str">
        <f>=HYPERLINK("https://www.achenbach.de/en/", "https://www.achenbach.de/en/")</f>
        <v>https://www.achenbach.de/en/</v>
      </c>
      <c r="H775" t="inlineStr">
        <is>
          <t>拥有 570 余年历史的德国家族企业，全球铝箔与铝带轧机市场领导者（市占率约 75%）。主营有色金属轧制、切割及自动化设备，提供交钥匙工程与全生命周期服务，技术覆盖 60 余国。</t>
        </is>
      </c>
      <c r="I775"/>
      <c r="J775"/>
      <c r="K775"/>
      <c r="L775" s="2" t="str">
        <f>=HYPERLINK("mailto:info@achenbach.de", "info@achenbach.de")</f>
        <v>info@achenbach.de</v>
      </c>
      <c r="M775" t="inlineStr">
        <is>
          <t>+49 (0)2732 799-0</t>
        </is>
      </c>
      <c r="N775" s="3">
        <v>46114</v>
      </c>
      <c r="O775" t="inlineStr">
        <is>
          <t>已联系已回复</t>
        </is>
      </c>
      <c r="P775" t="inlineStr">
        <is>
          <t>表示很感兴趣，目前我方已经把一直信息发送给对方，正在跟进中</t>
        </is>
      </c>
      <c r="Q775" t="inlineStr">
        <is>
          <t>上海铝业协会-德国奥地利匈牙利</t>
        </is>
      </c>
      <c r="R775"/>
      <c r="S775"/>
      <c r="T775"/>
    </row>
    <row r="776" ht="25.5" customHeight="1">
      <c r="A776" t="inlineStr">
        <is>
          <t>特诺瓦 LOI 热处理技术有限公司
/Tenova LOI Thermprocess GmbH</t>
        </is>
      </c>
      <c r="B776" t="inlineStr">
        <is>
          <t>德国</t>
        </is>
      </c>
      <c r="C776" t="inlineStr">
        <is>
          <t>杜伊斯堡市</t>
        </is>
      </c>
      <c r="D776" t="inlineStr">
        <is>
          <t>铝业公司</t>
        </is>
      </c>
      <c r="E776" t="inlineStr">
        <is>
          <t>铝业铸造</t>
        </is>
      </c>
      <c r="F776" t="inlineStr">
        <is>
          <t>德国杜伊斯堡市，47059，席弗大街 80 号</t>
        </is>
      </c>
      <c r="G776" s="2" t="str">
        <f>=HYPERLINK("https://loi.tenova.com/", "https://loi.tenova.com/")</f>
        <v>https://loi.tenova.com/</v>
      </c>
      <c r="H776" t="inlineStr">
        <is>
          <t>隶属于意大利特诺瓦集团，总部位于杜伊斯堡，是全球金属热处理工业炉领军企业。拥有百年工业炉经验，聚焦钢铁、铝业低碳热处理，在电工钢热处理领域全球领先，提供全流程热工解决方案。</t>
        </is>
      </c>
      <c r="I776"/>
      <c r="J776"/>
      <c r="K776"/>
      <c r="L776" s="2" t="str">
        <f>=HYPERLINK("mailto:loi@tenova.com", "loi@tenova.com")</f>
        <v>loi@tenova.com</v>
      </c>
      <c r="M776" t="inlineStr">
        <is>
          <t>+49 203 80398-900</t>
        </is>
      </c>
      <c r="N776" s="3">
        <v>46114</v>
      </c>
      <c r="O776" t="inlineStr">
        <is>
          <t>已联系未回复</t>
        </is>
      </c>
      <c r="P776"/>
      <c r="Q776" t="inlineStr">
        <is>
          <t>上海铝业协会-德国奥地利匈牙利</t>
        </is>
      </c>
      <c r="R776"/>
      <c r="S776"/>
      <c r="T776"/>
    </row>
    <row r="777" ht="25.5" customHeight="1">
      <c r="A777" t="inlineStr">
        <is>
          <t>TSR 集团 / TSR 回收有限公司两合公司
/TSR Group / TSR Recycling GmbH &amp; Co. KG</t>
        </is>
      </c>
      <c r="B777" t="inlineStr">
        <is>
          <t>德国</t>
        </is>
      </c>
      <c r="C777" t="inlineStr">
        <is>
          <t>吕嫩市</t>
        </is>
      </c>
      <c r="D777" t="inlineStr">
        <is>
          <t>铝业公司</t>
        </is>
      </c>
      <c r="E777" t="inlineStr">
        <is>
          <t>铝业铸造</t>
        </is>
      </c>
      <c r="F777" t="inlineStr">
        <is>
          <t>德国吕嫩市，44536，布鲁嫩大街 138 号</t>
        </is>
      </c>
      <c r="G777" s="2" t="str">
        <f>=HYPERLINK("https://www.tsr.eu/en/", "https://www.tsr.eu/en/")</f>
        <v>https://www.tsr.eu/en/</v>
      </c>
      <c r="H777" t="inlineStr">
        <is>
          <t>欧洲金属回收龙头企业，总部位于吕嫩，全球布局超 170 个网点。主营钢铁、有色金属回收与高纯度再生原料生产，提供电子废弃物、报废汽车等循环利用方案，是工业低碳转型的核心伙伴。</t>
        </is>
      </c>
      <c r="I777"/>
      <c r="J777"/>
      <c r="K777"/>
      <c r="L777" s="2" t="str">
        <f>=HYPERLINK("mailto:info@tsr.eu", "info@tsr.eu")</f>
        <v>info@tsr.eu</v>
      </c>
      <c r="M777" t="inlineStr">
        <is>
          <t>+49 2306 106-3800</t>
        </is>
      </c>
      <c r="N777" s="3">
        <v>46114</v>
      </c>
      <c r="O777" t="inlineStr">
        <is>
          <t>已联系已回复</t>
        </is>
      </c>
      <c r="P777" t="inlineStr">
        <is>
          <t>表示感兴趣，希望通过线上会议进一步了解更过关于代表团以及本次访问的相关信息</t>
        </is>
      </c>
      <c r="Q777" t="inlineStr">
        <is>
          <t>上海铝业协会-德国奥地利匈牙利</t>
        </is>
      </c>
      <c r="R777"/>
      <c r="S777"/>
      <c r="T777"/>
    </row>
    <row r="778" ht="25.5" customHeight="1">
      <c r="A778" t="inlineStr">
        <is>
          <t>朔尔茨再生资源有限公司
/Scholz Recycling GmbH</t>
        </is>
      </c>
      <c r="B778" t="inlineStr">
        <is>
          <t>德国</t>
        </is>
      </c>
      <c r="C778" t="inlineStr">
        <is>
          <t>埃辛根市</t>
        </is>
      </c>
      <c r="D778" t="inlineStr">
        <is>
          <t>铝业公司</t>
        </is>
      </c>
      <c r="E778" t="inlineStr">
        <is>
          <t>铝业铸造</t>
        </is>
      </c>
      <c r="F778" t="inlineStr">
        <is>
          <t>德国埃辛根市，73457，伯恩特 - 乌尔里希 - 肖尔茨大街 1 号</t>
        </is>
      </c>
      <c r="G778" s="2" t="str">
        <f>=HYPERLINK("https://www.scholz-recycling.com/en/", "https://www.scholz-recycling.com/en/")</f>
        <v>https://www.scholz-recycling.com/en/</v>
      </c>
      <c r="H778" t="inlineStr">
        <is>
          <t>1872 年创立的全球金属回收巨头，总部位于埃辛根。专注钢铁、有色金属废料加工，年处理量超 260 万吨，为全球钢厂、冶炼厂提供再生原料，业务覆盖全球并深耕德国本土市场。</t>
        </is>
      </c>
      <c r="I778"/>
      <c r="J778"/>
      <c r="K778"/>
      <c r="L778" s="2" t="str">
        <f>=HYPERLINK("mailto:info@scholz-recycling.de", "info@scholz-recycling.de")</f>
        <v>info@scholz-recycling.de</v>
      </c>
      <c r="M778" t="inlineStr">
        <is>
          <t>+49 (7365) 84-0</t>
        </is>
      </c>
      <c r="N778" s="3">
        <v>46114</v>
      </c>
      <c r="O778" t="inlineStr">
        <is>
          <t>已联系未回复</t>
        </is>
      </c>
      <c r="P778"/>
      <c r="Q778" t="inlineStr">
        <is>
          <t>上海铝业协会-德国奥地利匈牙利</t>
        </is>
      </c>
      <c r="R778"/>
      <c r="S778"/>
      <c r="T778"/>
    </row>
    <row r="779" ht="25.5" customHeight="1">
      <c r="A779" t="inlineStr">
        <is>
          <t>兹维克罗埃尔有限公司两合公司
/ZwickRoell GmbH &amp; Co. KG</t>
        </is>
      </c>
      <c r="B779" t="inlineStr">
        <is>
          <t>德国</t>
        </is>
      </c>
      <c r="C779" t="inlineStr">
        <is>
          <t>乌尔姆市</t>
        </is>
      </c>
      <c r="D779" t="inlineStr">
        <is>
          <t>铝业公司</t>
        </is>
      </c>
      <c r="E779" t="inlineStr">
        <is>
          <t>铝业铸造</t>
        </is>
      </c>
      <c r="F779" t="inlineStr">
        <is>
          <t>德国乌尔姆市，89079，奥古斯特 - 纳格尔大街 11 号</t>
        </is>
      </c>
      <c r="G779" s="2" t="str">
        <f>=HYPERLINK("https://www.zwickroell.com/", "https://www.zwickroell.com/")</f>
        <v>https://www.zwickroell.com/</v>
      </c>
      <c r="H779" t="inlineStr">
        <is>
          <t>总部位于乌尔姆的全球材料测试设备领导者，拥有超 160 年技术积淀。主营静态 / 动态材料试验机、硬度计等，产品应用于 20 余行业的研发与质控，全球 56 国设分支，以精准可靠的测试方案服务工业客户。</t>
        </is>
      </c>
      <c r="I779"/>
      <c r="J779"/>
      <c r="K779"/>
      <c r="L779" s="2" t="str">
        <f>=HYPERLINK("mailto:info@zwickroell.com", "info@zwickroell.com")</f>
        <v>info@zwickroell.com</v>
      </c>
      <c r="M779" t="inlineStr">
        <is>
          <t>+49 7305 10 0</t>
        </is>
      </c>
      <c r="N779" s="3">
        <v>46114</v>
      </c>
      <c r="O779" t="inlineStr">
        <is>
          <t>推进中</t>
        </is>
      </c>
      <c r="P779" t="inlineStr">
        <is>
          <t>已转介至相关部门</t>
        </is>
      </c>
      <c r="Q779" t="inlineStr">
        <is>
          <t>上海铝业协会-德国奥地利匈牙利</t>
        </is>
      </c>
      <c r="R779"/>
      <c r="S779"/>
      <c r="T779"/>
    </row>
    <row r="780" ht="25.5" customHeight="1">
      <c r="A780"/>
      <c r="B780"/>
      <c r="C780"/>
      <c r="D780"/>
      <c r="E780"/>
      <c r="F780"/>
      <c r="G780" s="2"/>
      <c r="H780"/>
      <c r="I780"/>
      <c r="J780"/>
      <c r="K780"/>
      <c r="L780" s="2"/>
      <c r="M780"/>
      <c r="N780" s="3"/>
      <c r="O780"/>
      <c r="P780"/>
      <c r="Q780"/>
      <c r="R780"/>
      <c r="S780"/>
      <c r="T780"/>
    </row>
  </sheetData>
  <dataValidations count="3">
    <dataValidation allowBlank="false" sqref="B2:B779" type="list">
      <formula1>"西班牙,英国,沙特阿拉伯,德国,爱尔兰,乌兹别克斯坦,中国,新加坡,阿联酋,葡萄牙,法国,埃及,土耳其,美国,哈萨克斯坦,印度尼西亚,马来西亚,泰国,越南,菲律宾,奥地利,匈牙利,布达佩斯,陶陶巴尼奥（Tatabánya附近）,埃格尔,特克尔,沙托劳尔尧乌伊海伊,贝凯什乔包,乔尔诺克,格德,采格莱德,希罗克,杰尔,奥普奇,绍尔戈陶尔扬,舒伊沙普,埃切尔,印度,墨西哥"</formula1>
    </dataValidation>
    <dataValidation allowBlank="false" sqref="E2:E779" type="list">
      <formula1>"新一代信息技术,教育,医疗行业,商会,体育,慈善基金,商业,政府,商业金融,商业会展,贸促局,商会协会,戏剧文化,科技园,职业高中,大学,机构,学校,铝业,有色金属,环境保护,铝业铸造,出海通识知识课程培训,法律"</formula1>
    </dataValidation>
    <dataValidation allowBlank="false" sqref="O2:O779" type="list">
      <formula1>"未联系,已联系未回复,已联系已回复,触达,推进中,拒绝,可长期合作"</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